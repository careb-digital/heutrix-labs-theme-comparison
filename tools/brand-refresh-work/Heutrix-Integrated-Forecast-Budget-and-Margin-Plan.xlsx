
<file path=[Content_Types].xml><?xml version="1.0" encoding="utf-8"?>
<Types xmlns="http://schemas.openxmlformats.org/package/2006/content-types">
  <Default Extension="xml" ContentType="application/vnd.openxmlformats-officedocument.spreadsheetml.sheet.main+xml"/>
  <Default Extension="png" ContentType="image/pn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5.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6.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drawings/charts/chart7.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drawings/drawing6.xml" ContentType="application/vnd.openxmlformats-officedocument.drawing+xml"/>
  <Override PartName="/xl/drawings/charts/chart8.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bbc564475e14bed" /></Relationships>
</file>

<file path=xl/workbook.xml><?xml version="1.0" encoding="utf-8"?>
<x:workbook xmlns:x="http://schemas.openxmlformats.org/spreadsheetml/2006/main">
  <x:sheets>
    <x:sheet xmlns:r="http://schemas.openxmlformats.org/officeDocument/2006/relationships" name="Summary" sheetId="1" r:id="R0b59ed0ea39b4041"/>
    <x:sheet xmlns:r="http://schemas.openxmlformats.org/officeDocument/2006/relationships" name="Assumptions" sheetId="2" r:id="Rb9f852e65f3d4f00"/>
    <x:sheet xmlns:r="http://schemas.openxmlformats.org/officeDocument/2006/relationships" name="Unit Economics" sheetId="3" r:id="R2a9ba56584484199"/>
    <x:sheet xmlns:r="http://schemas.openxmlformats.org/officeDocument/2006/relationships" name="Scenario Forecast" sheetId="4" r:id="R8d5c5e0feb2c4ec8"/>
    <x:sheet xmlns:r="http://schemas.openxmlformats.org/officeDocument/2006/relationships" name="Base Quarterly" sheetId="5" r:id="R1dfe01b8dde84d19"/>
    <x:sheet xmlns:r="http://schemas.openxmlformats.org/officeDocument/2006/relationships" name="Operating Budget" sheetId="6" r:id="Raf893bb794004a7e"/>
    <x:sheet xmlns:r="http://schemas.openxmlformats.org/officeDocument/2006/relationships" name="Tax &amp; Cash" sheetId="7" r:id="R1b6ae5c2c88c4213"/>
    <x:sheet xmlns:r="http://schemas.openxmlformats.org/officeDocument/2006/relationships" name="Capacity" sheetId="8" r:id="Rf32a687ac64f49da"/>
    <x:sheet xmlns:r="http://schemas.openxmlformats.org/officeDocument/2006/relationships" name="Checks" sheetId="9" r:id="R9af388c81ffb4135"/>
    <x:sheet xmlns:r="http://schemas.openxmlformats.org/officeDocument/2006/relationships" name="Sources" sheetId="10" r:id="R44e1c5fb06114a7a"/>
  </x:sheets>
</x:workbook>
</file>

<file path=xl/comments1.xml><?xml version="1.0" encoding="utf-8"?>
<x:comments xmlns:x="http://schemas.openxmlformats.org/spreadsheetml/2006/main">
  <x:authors>
    <x:author>tc={8685A0CF-849E-4A50-8673-3F29812CC5E3}</x:author>
    <x:author>tc={2039E07F-DCA3-4B7B-A55F-D5D16A17DD22}</x:author>
    <x:author>tc={0A3329DE-F37B-40CE-A5BD-AFB4E66207A9}</x:author>
    <x:author>tc={1CD8DB53-B32D-49E1-AA52-D35C56F5E994}</x:author>
    <x:author>tc={5183C0E5-8E84-4091-913F-DDC36FAE4AF8}</x:author>
    <x:author>tc={EE9A6656-B51E-413B-BF32-75AC72AF2B74}</x:author>
    <x:author>tc={D325A9C6-C63E-479A-ABAB-777EED57B13D}</x:author>
    <x:author>tc={4CFE5CBB-6AEF-4F9B-A03D-E0F866AA1326}</x:author>
  </x:authors>
  <x:commentList>
    <x:comment ref="B7" authorId="0">
      <x:text>
        <x:r>
          <x:t>[Threaded comment]
Your version of Excel allows you to read this threaded comment; however, any edits to it will get removed if the file is opened in a newer version of Excel. Learn more: https://go.microsoft.com/fwlink/?linkid=870924
Comment:
    Source: owner brief dated 2026-09-03. Range supplied: AUD $80–$100 per consultant hour.</x:t>
        </x:r>
      </x:text>
    </x:comment>
    <x:comment ref="B8" authorId="1">
      <x:text>
        <x:r>
          <x:t>[Threaded comment]
Your version of Excel allows you to read this threaded comment; however, any edits to it will get removed if the file is opened in a newer version of Excel. Learn more: https://go.microsoft.com/fwlink/?linkid=870924
Comment:
    Source: owner brief dated 2026-09-03. Range supplied: AUD $30–$35 per offshore developer hour.</x:t>
        </x:r>
      </x:text>
    </x:comment>
    <x:comment ref="B14" authorId="2">
      <x:text>
        <x:r>
          <x:t>[Threaded comment]
Your version of Excel allows you to read this threaded comment; however, any edits to it will get removed if the file is opened in a newer version of Excel. Learn more: https://go.microsoft.com/fwlink/?linkid=870924
Comment:
    Assumption: 25% uplift is a planning allowance for FX/payment friction, security/tooling, onboarding and offshore delivery risk. Replace with vendor invoices and actual variance.</x:t>
        </x:r>
      </x:text>
    </x:comment>
    <x:comment ref="I7" authorId="3">
      <x:text>
        <x:r>
          <x:t>[Threaded comment]
Your version of Excel allows you to read this threaded comment; however, any edits to it will get removed if the file is opened in a newer version of Excel. Learn more: https://go.microsoft.com/fwlink/?linkid=870924
Comment:
    Source: Australian Taxation Office — GST on taxable sales is 10%. https://www.ato.gov.au/businesses-and-organisations/gst-excise-and-indirect-taxes/gst</x:t>
        </x:r>
      </x:text>
    </x:comment>
    <x:comment ref="I8" authorId="4">
      <x:text>
        <x:r>
          <x:t>[Threaded comment]
Your version of Excel allows you to read this threaded comment; however, any edits to it will get removed if the file is opened in a newer version of Excel. Learn more: https://go.microsoft.com/fwlink/?linkid=870924
Comment:
    Source: Australian Taxation Office — GST registration threshold is $75,000 turnover for businesses. https://www.ato.gov.au/businesses-and-organisations/gst-excise-and-indirect-taxes/gst/registering-for-gst</x:t>
        </x:r>
      </x:text>
    </x:comment>
    <x:comment ref="I9" authorId="5">
      <x:text>
        <x:r>
          <x:t>[Threaded comment]
Your version of Excel allows you to read this threaded comment; however, any edits to it will get removed if the file is opened in a newer version of Excel. Learn more: https://go.microsoft.com/fwlink/?linkid=870924
Comment:
    Source: Australian Taxation Office. Base rate entities may use 25%; other companies may use 30%. Eligibility and entity structure require accountant confirmation.</x:t>
        </x:r>
      </x:text>
    </x:comment>
    <x:comment ref="I11" authorId="6">
      <x:text>
        <x:r>
          <x:t>[Threaded comment]
Your version of Excel allows you to read this threaded comment; however, any edits to it will get removed if the file is opened in a newer version of Excel. Learn more: https://go.microsoft.com/fwlink/?linkid=870924
Comment:
    Source: Australian Taxation Office — super guarantee is 12% from 1 July 2025 onward. https://www.ato.gov.au/tax-rates-and-codes/key-superannuation-rates-and-thresholds/super-guarantee</x:t>
        </x:r>
      </x:text>
    </x:comment>
    <x:comment ref="B39" authorId="7">
      <x:text>
        <x:r>
          <x:t>[Threaded comment]
Your version of Excel allows you to read this threaded comment; however, any edits to it will get removed if the file is opened in a newer version of Excel. Learn more: https://go.microsoft.com/fwlink/?linkid=870924
Comment:
    Assumption only. Insurance scope and premiums are not verified; obtain broker quotes for professional indemnity, cyber and public liability before onboarding.</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Red]($#,##0);-"/>
    <x:numFmt numFmtId="201" formatCode="#,##0;[Red](#,##0);-"/>
    <x:numFmt numFmtId="202" formatCode="0.0%;[Red](0.0%);-"/>
    <x:numFmt numFmtId="203" formatCode="#,##0.0;[Red](#,##0.0);-"/>
  </x:numFmts>
  <x:fonts count="16">
    <x:font>
      <x:sz val="11"/>
      <x:name val="Carlito"/>
    </x:font>
    <x:font>
      <x:b/>
      <x:sz val="18"/>
      <x:color rgb="FFFFFFFF"/>
      <x:name val="Carlito"/>
    </x:font>
    <x:font>
      <x:i/>
      <x:sz val="11"/>
      <x:color rgb="FF5D6D7E"/>
      <x:name val="Carlito"/>
    </x:font>
    <x:font>
      <x:b/>
      <x:sz val="11"/>
      <x:color rgb="FFFFFFFF"/>
      <x:name val="Carlito"/>
    </x:font>
    <x:font>
      <x:b/>
      <x:sz val="11"/>
      <x:color rgb="FF0B1F3A"/>
      <x:name val="Carlito"/>
    </x:font>
    <x:font>
      <x:sz val="11"/>
      <x:color rgb="FF0000FF"/>
      <x:name val="Carlito"/>
    </x:font>
    <x:font>
      <x:sz val="11"/>
      <x:color rgb="FF008000"/>
      <x:name val="Carlito"/>
    </x:font>
    <x:font>
      <x:sz val="11"/>
      <x:color rgb="FF000000"/>
      <x:name val="Carlito"/>
    </x:font>
    <x:font>
      <x:sz val="11"/>
      <x:color rgb="FF0B1F3A"/>
      <x:name val="Carlito"/>
    </x:font>
    <x:font>
      <x:b/>
      <x:sz val="11"/>
      <x:color rgb="FF000000"/>
      <x:name val="Carlito"/>
    </x:font>
    <x:font>
      <x:b/>
      <x:sz val="16"/>
      <x:color rgb="FF1E8449"/>
      <x:name val="Carlito"/>
    </x:font>
    <x:font>
      <x:sz val="11"/>
      <x:color rgb="FF5D6D7E"/>
      <x:name val="Carlito"/>
    </x:font>
    <x:font>
      <x:b/>
      <x:sz val="20"/>
      <x:color rgb="FF0B1F3A"/>
      <x:name val="Carlito"/>
    </x:font>
    <x:font>
      <x:b/>
      <x:sz val="11"/>
      <x:color rgb="FF033862"/>
      <x:name val="Carlito"/>
    </x:font>
    <x:font>
      <x:b/>
      <x:sz val="20"/>
      <x:color rgb="FF033862"/>
      <x:name val="Carlito"/>
    </x:font>
    <x:font>
      <x:sz val="11"/>
      <x:color rgb="FF033862"/>
      <x:name val="Carlito"/>
    </x:font>
  </x:fonts>
  <x:fills count="17">
    <x:fill>
      <x:patternFill patternType="none"/>
    </x:fill>
    <x:fill>
      <x:patternFill patternType="gray125"/>
    </x:fill>
    <x:fill>
      <x:patternFill patternType="solid">
        <x:fgColor rgb="FF0B1F3A"/>
      </x:patternFill>
    </x:fill>
    <x:fill>
      <x:patternFill patternType="solid">
        <x:fgColor rgb="FFF3F6F8"/>
      </x:patternFill>
    </x:fill>
    <x:fill>
      <x:patternFill patternType="solid">
        <x:fgColor rgb="FF17375E"/>
      </x:patternFill>
    </x:fill>
    <x:fill>
      <x:patternFill patternType="solid">
        <x:fgColor rgb="FF8DE2C1"/>
      </x:patternFill>
    </x:fill>
    <x:fill>
      <x:patternFill patternType="solid">
        <x:fgColor rgb="FFFFFBEA"/>
      </x:patternFill>
    </x:fill>
    <x:fill>
      <x:patternFill patternType="solid">
        <x:fgColor rgb="FFFFF2CC"/>
      </x:patternFill>
    </x:fill>
    <x:fill>
      <x:patternFill patternType="solid">
        <x:fgColor rgb="FFEAF2FB"/>
      </x:patternFill>
    </x:fill>
    <x:fill>
      <x:patternFill patternType="solid">
        <x:fgColor rgb="FFE9F8F2"/>
      </x:patternFill>
    </x:fill>
    <x:fill>
      <x:patternFill patternType="solid">
        <x:fgColor rgb="FFFFF4D6"/>
      </x:patternFill>
    </x:fill>
    <x:fill>
      <x:patternFill patternType="solid">
        <x:fgColor rgb="FFE9F7EF"/>
      </x:patternFill>
    </x:fill>
    <x:fill>
      <x:patternFill patternType="solid">
        <x:fgColor rgb="FFFFFFFF"/>
      </x:patternFill>
    </x:fill>
    <x:fill>
      <x:patternFill patternType="solid">
        <x:fgColor rgb="FF033862"/>
      </x:patternFill>
    </x:fill>
    <x:fill>
      <x:patternFill patternType="solid">
        <x:fgColor rgb="FF01647C"/>
      </x:patternFill>
    </x:fill>
    <x:fill>
      <x:patternFill patternType="solid">
        <x:fgColor rgb="FFEFFAFA"/>
      </x:patternFill>
    </x:fill>
    <x:fill>
      <x:patternFill patternType="solid">
        <x:fgColor rgb="FF8DE4E0"/>
      </x:patternFill>
    </x:fill>
  </x:fills>
  <x:borders count="16">
    <x:border/>
    <x:border>
      <x:left style="thin">
        <x:color rgb="FFCCD6E0"/>
      </x:left>
      <x:top style="thin">
        <x:color rgb="FFCCD6E0"/>
      </x:top>
      <x:bottom style="thin">
        <x:color rgb="FFCCD6E0"/>
      </x:bottom>
    </x:border>
    <x:border>
      <x:top style="thin">
        <x:color rgb="FFCCD6E0"/>
      </x:top>
      <x:bottom style="thin">
        <x:color rgb="FFCCD6E0"/>
      </x:bottom>
    </x:border>
    <x:border>
      <x:right style="thin">
        <x:color rgb="FFCCD6E0"/>
      </x:right>
      <x:top style="thin">
        <x:color rgb="FFCCD6E0"/>
      </x:top>
      <x:bottom style="thin">
        <x:color rgb="FFCCD6E0"/>
      </x:bottom>
    </x:border>
    <x:border>
      <x:left style="thin">
        <x:color rgb="FFCCD6E0"/>
      </x:left>
      <x:top style="thin">
        <x:color rgb="FFCCD6E0"/>
      </x:top>
    </x:border>
    <x:border>
      <x:top style="thin">
        <x:color rgb="FFCCD6E0"/>
      </x:top>
    </x:border>
    <x:border>
      <x:right style="thin">
        <x:color rgb="FFCCD6E0"/>
      </x:right>
      <x:top style="thin">
        <x:color rgb="FFCCD6E0"/>
      </x:top>
    </x:border>
    <x:border>
      <x:left style="thin">
        <x:color rgb="FFCCD6E0"/>
      </x:left>
    </x:border>
    <x:border>
      <x:right style="thin">
        <x:color rgb="FFCCD6E0"/>
      </x:right>
    </x:border>
    <x:border>
      <x:left style="thin">
        <x:color rgb="FFCCD6E0"/>
      </x:left>
      <x:bottom style="thin">
        <x:color rgb="FFCCD6E0"/>
      </x:bottom>
    </x:border>
    <x:border>
      <x:bottom style="thin">
        <x:color rgb="FFCCD6E0"/>
      </x:bottom>
    </x:border>
    <x:border>
      <x:right style="thin">
        <x:color rgb="FFCCD6E0"/>
      </x:right>
      <x:bottom style="thin">
        <x:color rgb="FFCCD6E0"/>
      </x:bottom>
    </x:border>
    <x:border>
      <x:left style="thin">
        <x:color rgb="FFCCD6E0"/>
      </x:left>
      <x:right style="thin">
        <x:color rgb="FFCCD6E0"/>
      </x:right>
      <x:top style="thin">
        <x:color rgb="FFCCD6E0"/>
      </x:top>
    </x:border>
    <x:border>
      <x:left style="thin">
        <x:color rgb="FFCCD6E0"/>
      </x:left>
      <x:right style="thin">
        <x:color rgb="FFCCD6E0"/>
      </x:right>
    </x:border>
    <x:border>
      <x:left style="thin">
        <x:color rgb="FFCCD6E0"/>
      </x:left>
      <x:right style="thin">
        <x:color rgb="FFCCD6E0"/>
      </x:right>
      <x:bottom style="thin">
        <x:color rgb="FFCCD6E0"/>
      </x:bottom>
    </x:border>
    <x:border>
      <x:top style="double">
        <x:color rgb="FF0B1F3A"/>
      </x:top>
    </x:border>
  </x:borders>
  <x:cellStyleXfs count="1">
    <x:xf numFmtId="0" fontId="0" fillId="0" borderId="0"/>
  </x:cellStyleXfs>
  <x:cellXfs count="35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10" xfId="0" applyNumberFormat="1" applyFont="1" applyFill="1" applyBorder="1"/>
    <x:xf numFmtId="0" fontId="5" fillId="6" borderId="11" xfId="0" applyNumberFormat="1" applyFont="1" applyFill="1" applyBorder="1"/>
    <x:xf numFmtId="200" fontId="5" fillId="6" borderId="4" xfId="0" applyNumberFormat="1" applyFont="1" applyFill="1" applyBorder="1"/>
    <x:xf numFmtId="200" fontId="5" fillId="6" borderId="5" xfId="0" applyNumberFormat="1" applyFont="1" applyFill="1" applyBorder="1"/>
    <x:xf numFmtId="200" fontId="5" fillId="6" borderId="6" xfId="0" applyNumberFormat="1" applyFont="1" applyFill="1" applyBorder="1"/>
    <x:xf numFmtId="200" fontId="5" fillId="6" borderId="7" xfId="0" applyNumberFormat="1" applyFont="1" applyFill="1" applyBorder="1"/>
    <x:xf numFmtId="200" fontId="5" fillId="6" borderId="0" xfId="0" applyNumberFormat="1" applyFont="1" applyFill="1" applyBorder="1"/>
    <x:xf numFmtId="200" fontId="5" fillId="6" borderId="8" xfId="0" applyNumberFormat="1" applyFont="1" applyFill="1" applyBorder="1"/>
    <x:xf numFmtId="201" fontId="5" fillId="6" borderId="7" xfId="0" applyNumberFormat="1" applyFont="1" applyFill="1" applyBorder="1"/>
    <x:xf numFmtId="201" fontId="5" fillId="6" borderId="0" xfId="0" applyNumberFormat="1" applyFont="1" applyFill="1" applyBorder="1"/>
    <x:xf numFmtId="201" fontId="5" fillId="6" borderId="8" xfId="0" applyNumberFormat="1" applyFont="1" applyFill="1" applyBorder="1"/>
    <x:xf numFmtId="201" fontId="5" fillId="6" borderId="9" xfId="0" applyNumberFormat="1" applyFont="1" applyFill="1" applyBorder="1"/>
    <x:xf numFmtId="201" fontId="5" fillId="6" borderId="10" xfId="0" applyNumberFormat="1" applyFont="1" applyFill="1" applyBorder="1"/>
    <x:xf numFmtId="201" fontId="5" fillId="6" borderId="1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2" xfId="0" applyNumberFormat="1" applyFont="1" applyFill="1" applyBorder="1"/>
    <x:xf numFmtId="0" fontId="5" fillId="7" borderId="13" xfId="0" applyNumberFormat="1" applyFont="1" applyFill="1" applyBorder="1"/>
    <x:xf numFmtId="0" fontId="5" fillId="7" borderId="14" xfId="0" applyNumberFormat="1" applyFont="1" applyFill="1" applyBorder="1"/>
    <x:xf numFmtId="202" fontId="5" fillId="7" borderId="12" xfId="0" applyNumberFormat="1" applyFont="1" applyFill="1" applyBorder="1"/>
    <x:xf numFmtId="202" fontId="5" fillId="7" borderId="13" xfId="0" applyNumberFormat="1" applyFont="1" applyFill="1" applyBorder="1"/>
    <x:xf numFmtId="202" fontId="5" fillId="7" borderId="14" xfId="0" applyNumberFormat="1" applyFont="1" applyFill="1" applyBorder="1"/>
    <x:xf numFmtId="0" fontId="0" fillId="0" borderId="0" xfId="0" applyNumberFormat="1" applyFont="1" applyFill="1" applyBorder="1" applyAlignment="1">
      <x:alignment wrapText="1"/>
    </x:xf>
    <x:xf numFmtId="202" fontId="5" fillId="7" borderId="12" xfId="0" applyNumberFormat="1" applyFont="1" applyFill="1" applyBorder="1" applyAlignment="1">
      <x:alignment wrapText="1"/>
    </x:xf>
    <x:xf numFmtId="202" fontId="5" fillId="7" borderId="13" xfId="0" applyNumberFormat="1" applyFont="1" applyFill="1" applyBorder="1" applyAlignment="1">
      <x:alignment wrapText="1"/>
    </x:xf>
    <x:xf numFmtId="202" fontId="5" fillId="7" borderId="14" xfId="0" applyNumberFormat="1" applyFont="1" applyFill="1" applyBorder="1" applyAlignment="1">
      <x:alignment wrapText="1"/>
    </x:xf>
    <x:xf numFmtId="200" fontId="5" fillId="7" borderId="13" xfId="0" applyNumberFormat="1" applyFont="1" applyFill="1" applyBorder="1"/>
    <x:xf numFmtId="203" fontId="5" fillId="7" borderId="13" xfId="0" applyNumberFormat="1" applyFont="1" applyFill="1" applyBorder="1"/>
    <x:xf numFmtId="203" fontId="5" fillId="7" borderId="14" xfId="0" applyNumberFormat="1" applyFont="1" applyFill="1" applyBorder="1"/>
    <x:xf numFmtId="200" fontId="5" fillId="7" borderId="13" xfId="0" applyNumberFormat="1" applyFont="1" applyFill="1" applyBorder="1" applyAlignment="1">
      <x:alignment wrapText="1"/>
    </x:xf>
    <x:xf numFmtId="203" fontId="5" fillId="7" borderId="13" xfId="0" applyNumberFormat="1" applyFont="1" applyFill="1" applyBorder="1" applyAlignment="1">
      <x:alignment wrapText="1"/>
    </x:xf>
    <x:xf numFmtId="203" fontId="5" fillId="7" borderId="14" xfId="0" applyNumberFormat="1" applyFont="1" applyFill="1" applyBorder="1" applyAlignment="1">
      <x:alignment wrapText="1"/>
    </x:xf>
    <x:xf numFmtId="200" fontId="5" fillId="6" borderId="9" xfId="0" applyNumberFormat="1" applyFont="1" applyFill="1" applyBorder="1"/>
    <x:xf numFmtId="203" fontId="5" fillId="6" borderId="5" xfId="0" applyNumberFormat="1" applyFont="1" applyFill="1" applyBorder="1"/>
    <x:xf numFmtId="203" fontId="5" fillId="6" borderId="0" xfId="0" applyNumberFormat="1" applyFont="1" applyFill="1" applyBorder="1"/>
    <x:xf numFmtId="203" fontId="5" fillId="6" borderId="10" xfId="0" applyNumberFormat="1" applyFont="1" applyFill="1" applyBorder="1"/>
    <x:xf numFmtId="200" fontId="5" fillId="6" borderId="10" xfId="0" applyNumberFormat="1" applyFont="1" applyFill="1" applyBorder="1"/>
    <x:xf numFmtId="202" fontId="5" fillId="6" borderId="5" xfId="0" applyNumberFormat="1" applyFont="1" applyFill="1" applyBorder="1"/>
    <x:xf numFmtId="202" fontId="5" fillId="6" borderId="0" xfId="0" applyNumberFormat="1" applyFont="1" applyFill="1" applyBorder="1"/>
    <x:xf numFmtId="202" fontId="5" fillId="6" borderId="10" xfId="0" applyNumberFormat="1" applyFont="1" applyFill="1" applyBorder="1"/>
    <x:xf numFmtId="201" fontId="5" fillId="6" borderId="5" xfId="0" applyNumberFormat="1" applyFont="1" applyFill="1" applyBorder="1"/>
    <x:xf numFmtId="201" fontId="5" fillId="6" borderId="6" xfId="0" applyNumberFormat="1" applyFont="1" applyFill="1" applyBorder="1"/>
    <x:xf numFmtId="0" fontId="0" fillId="0" borderId="10" xfId="0" applyNumberFormat="1" applyFont="1" applyFill="1" applyBorder="1"/>
    <x:xf numFmtId="0" fontId="0" fillId="0" borderId="2" xfId="0" applyNumberFormat="1" applyFont="1" applyFill="1" applyBorder="1"/>
    <x:xf numFmtId="200" fontId="5" fillId="6" borderId="1" xfId="0" applyNumberFormat="1" applyFont="1" applyFill="1" applyBorder="1"/>
    <x:xf numFmtId="203" fontId="5" fillId="6" borderId="2" xfId="0" applyNumberFormat="1" applyFont="1" applyFill="1" applyBorder="1"/>
    <x:xf numFmtId="200" fontId="5" fillId="6" borderId="2" xfId="0" applyNumberFormat="1" applyFont="1" applyFill="1" applyBorder="1"/>
    <x:xf numFmtId="202" fontId="5" fillId="6" borderId="2" xfId="0" applyNumberFormat="1" applyFont="1" applyFill="1" applyBorder="1"/>
    <x:xf numFmtId="201" fontId="5" fillId="6" borderId="2" xfId="0" applyNumberFormat="1" applyFont="1" applyFill="1" applyBorder="1"/>
    <x:xf numFmtId="0" fontId="0" fillId="0" borderId="5" xfId="0" applyNumberFormat="1" applyFont="1" applyFill="1" applyBorder="1"/>
    <x:xf numFmtId="202" fontId="5" fillId="6" borderId="6" xfId="0" applyNumberFormat="1" applyFont="1" applyFill="1" applyBorder="1"/>
    <x:xf numFmtId="202" fontId="5" fillId="6" borderId="8" xfId="0" applyNumberFormat="1" applyFont="1" applyFill="1" applyBorder="1"/>
    <x:xf numFmtId="202" fontId="5" fillId="6" borderId="11" xfId="0" applyNumberFormat="1" applyFont="1" applyFill="1" applyBorder="1"/>
    <x:xf numFmtId="200" fontId="5" fillId="6" borderId="4" xfId="0" applyNumberFormat="1" applyFont="1" applyFill="1" applyBorder="1" applyAlignment="1">
      <x:alignment wrapText="1"/>
    </x:xf>
    <x:xf numFmtId="200" fontId="5" fillId="6" borderId="5" xfId="0" applyNumberFormat="1" applyFont="1" applyFill="1" applyBorder="1" applyAlignment="1">
      <x:alignment wrapText="1"/>
    </x:xf>
    <x:xf numFmtId="202" fontId="5" fillId="6" borderId="6" xfId="0" applyNumberFormat="1" applyFont="1" applyFill="1" applyBorder="1" applyAlignment="1">
      <x:alignment wrapText="1"/>
    </x:xf>
    <x:xf numFmtId="200" fontId="5" fillId="6" borderId="7" xfId="0" applyNumberFormat="1" applyFont="1" applyFill="1" applyBorder="1" applyAlignment="1">
      <x:alignment wrapText="1"/>
    </x:xf>
    <x:xf numFmtId="200" fontId="5" fillId="6" borderId="0" xfId="0" applyNumberFormat="1" applyFont="1" applyFill="1" applyBorder="1" applyAlignment="1">
      <x:alignment wrapText="1"/>
    </x:xf>
    <x:xf numFmtId="202" fontId="5" fillId="6" borderId="8" xfId="0" applyNumberFormat="1" applyFont="1" applyFill="1" applyBorder="1" applyAlignment="1">
      <x:alignment wrapText="1"/>
    </x:xf>
    <x:xf numFmtId="200" fontId="5" fillId="6" borderId="9" xfId="0" applyNumberFormat="1" applyFont="1" applyFill="1" applyBorder="1" applyAlignment="1">
      <x:alignment wrapText="1"/>
    </x:xf>
    <x:xf numFmtId="200" fontId="5" fillId="6" borderId="10" xfId="0" applyNumberFormat="1" applyFont="1" applyFill="1" applyBorder="1" applyAlignment="1">
      <x:alignment wrapText="1"/>
    </x:xf>
    <x:xf numFmtId="202" fontId="5" fillId="6" borderId="11" xfId="0" applyNumberFormat="1" applyFont="1" applyFill="1" applyBorder="1" applyAlignment="1">
      <x:alignment wrapText="1"/>
    </x:xf>
    <x:xf numFmtId="202" fontId="5" fillId="6" borderId="4" xfId="0" applyNumberFormat="1" applyFont="1" applyFill="1" applyBorder="1"/>
    <x:xf numFmtId="202" fontId="5" fillId="6" borderId="7" xfId="0" applyNumberFormat="1" applyFont="1" applyFill="1" applyBorder="1"/>
    <x:xf numFmtId="202" fontId="5" fillId="6" borderId="9" xfId="0" applyNumberFormat="1" applyFont="1" applyFill="1" applyBorder="1"/>
    <x:xf numFmtId="0" fontId="6" fillId="0" borderId="0" xfId="0" applyNumberFormat="1" applyFont="1" applyFill="1" applyBorder="1"/>
    <x:xf numFmtId="200" fontId="6" fillId="0" borderId="0" xfId="0" applyNumberFormat="1" applyFont="1" applyFill="1" applyBorder="1"/>
    <x:xf numFmtId="203" fontId="6" fillId="0" borderId="0" xfId="0" applyNumberFormat="1" applyFont="1" applyFill="1" applyBorder="1"/>
    <x:xf numFmtId="202" fontId="6" fillId="0" borderId="0" xfId="0" applyNumberFormat="1" applyFont="1" applyFill="1" applyBorder="1"/>
    <x:xf numFmtId="202" fontId="0" fillId="0" borderId="0" xfId="0" applyNumberFormat="1" applyFont="1" applyFill="1" applyBorder="1"/>
    <x:xf numFmtId="0" fontId="7" fillId="0" borderId="0" xfId="0" applyNumberFormat="1" applyFont="1" applyFill="1" applyBorder="1"/>
    <x:xf numFmtId="202" fontId="7" fillId="0"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8" fillId="8" borderId="4"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11" xfId="0" applyNumberFormat="1" applyFont="1" applyFill="1" applyBorder="1"/>
    <x:xf numFmtId="0" fontId="8" fillId="8" borderId="4"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4" xfId="0" applyNumberFormat="1" applyFont="1" applyFill="1" applyBorder="1" applyAlignment="1">
      <x:alignment vertical="center" wrapText="1"/>
    </x:xf>
    <x:xf numFmtId="0" fontId="8" fillId="8" borderId="5" xfId="0" applyNumberFormat="1" applyFont="1" applyFill="1" applyBorder="1" applyAlignment="1">
      <x:alignment vertical="center" wrapText="1"/>
    </x:xf>
    <x:xf numFmtId="0" fontId="8" fillId="8" borderId="6" xfId="0" applyNumberFormat="1" applyFont="1" applyFill="1" applyBorder="1" applyAlignment="1">
      <x:alignment vertical="center" wrapText="1"/>
    </x:xf>
    <x:xf numFmtId="0" fontId="8" fillId="8" borderId="7" xfId="0" applyNumberFormat="1" applyFont="1" applyFill="1" applyBorder="1" applyAlignment="1">
      <x:alignment vertical="center" wrapText="1"/>
    </x:xf>
    <x:xf numFmtId="0" fontId="8" fillId="8" borderId="0" xfId="0" applyNumberFormat="1" applyFont="1" applyFill="1" applyBorder="1" applyAlignment="1">
      <x:alignment vertical="center" wrapText="1"/>
    </x:xf>
    <x:xf numFmtId="0" fontId="8" fillId="8" borderId="8" xfId="0" applyNumberFormat="1" applyFont="1" applyFill="1" applyBorder="1" applyAlignment="1">
      <x:alignment vertical="center" wrapText="1"/>
    </x:xf>
    <x:xf numFmtId="0" fontId="8" fillId="8" borderId="9" xfId="0" applyNumberFormat="1" applyFont="1" applyFill="1" applyBorder="1" applyAlignment="1">
      <x:alignment vertical="center" wrapText="1"/>
    </x:xf>
    <x:xf numFmtId="0" fontId="8" fillId="8" borderId="10" xfId="0" applyNumberFormat="1" applyFont="1" applyFill="1" applyBorder="1" applyAlignment="1">
      <x:alignment vertical="center" wrapText="1"/>
    </x:xf>
    <x:xf numFmtId="0" fontId="8" fillId="8" borderId="11" xfId="0" applyNumberFormat="1" applyFont="1" applyFill="1" applyBorder="1" applyAlignment="1">
      <x:alignment vertical="center" wrapText="1"/>
    </x:xf>
    <x:xf numFmtId="200" fontId="7" fillId="0" borderId="0" xfId="0" applyNumberFormat="1" applyFont="1" applyFill="1" applyBorder="1"/>
    <x:xf numFmtId="0" fontId="9" fillId="0" borderId="0" xfId="0" applyNumberFormat="1" applyFont="1" applyFill="1" applyBorder="1"/>
    <x:xf numFmtId="200" fontId="9" fillId="0" borderId="0" xfId="0" applyNumberFormat="1" applyFont="1" applyFill="1" applyBorder="1"/>
    <x:xf numFmtId="0" fontId="9" fillId="9" borderId="0" xfId="0" applyNumberFormat="1" applyFont="1" applyFill="1" applyBorder="1"/>
    <x:xf numFmtId="200" fontId="9" fillId="9" borderId="0" xfId="0" applyNumberFormat="1" applyFont="1" applyFill="1" applyBorder="1"/>
    <x:xf numFmtId="0" fontId="4" fillId="9" borderId="0" xfId="0" applyNumberFormat="1" applyFont="1" applyFill="1" applyBorder="1"/>
    <x:xf numFmtId="200" fontId="4" fillId="9" borderId="0" xfId="0" applyNumberFormat="1" applyFont="1" applyFill="1" applyBorder="1"/>
    <x:xf numFmtId="0" fontId="4" fillId="9" borderId="15" xfId="0" applyNumberFormat="1" applyFont="1" applyFill="1" applyBorder="1"/>
    <x:xf numFmtId="200" fontId="4" fillId="9" borderId="15"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applyAlignment="1">
      <x:alignment wrapText="1"/>
    </x:xf>
    <x:xf numFmtId="202" fontId="6" fillId="0" borderId="0" xfId="0" applyNumberFormat="1" applyFont="1" applyFill="1" applyBorder="1" applyAlignment="1">
      <x:alignment wrapText="1"/>
    </x:xf>
    <x:xf numFmtId="0" fontId="7" fillId="9" borderId="0" xfId="0" applyNumberFormat="1" applyFont="1" applyFill="1" applyBorder="1"/>
    <x:xf numFmtId="200" fontId="7" fillId="9" borderId="0" xfId="0" applyNumberFormat="1" applyFont="1" applyFill="1" applyBorder="1"/>
    <x:xf numFmtId="200" fontId="0" fillId="0" borderId="0" xfId="0" applyNumberFormat="1" applyFont="1" applyFill="1" applyBorder="1"/>
    <x:xf numFmtId="201" fontId="6" fillId="0" borderId="0" xfId="0" applyNumberFormat="1" applyFont="1" applyFill="1" applyBorder="1"/>
    <x:xf numFmtId="200" fontId="6" fillId="0" borderId="10" xfId="0" applyNumberFormat="1" applyFont="1" applyFill="1" applyBorder="1"/>
    <x:xf numFmtId="202" fontId="6" fillId="0" borderId="2" xfId="0" applyNumberFormat="1" applyFont="1" applyFill="1" applyBorder="1"/>
    <x:xf numFmtId="201" fontId="6" fillId="0" borderId="2" xfId="0" applyNumberFormat="1" applyFont="1" applyFill="1" applyBorder="1"/>
    <x:xf numFmtId="200" fontId="6" fillId="0" borderId="2" xfId="0" applyNumberFormat="1" applyFont="1" applyFill="1" applyBorder="1"/>
    <x:xf numFmtId="200" fontId="6" fillId="0" borderId="5" xfId="0" applyNumberFormat="1" applyFont="1" applyFill="1" applyBorder="1"/>
    <x:xf numFmtId="0" fontId="0" fillId="9" borderId="2" xfId="0" applyNumberFormat="1" applyFont="1" applyFill="1" applyBorder="1"/>
    <x:xf numFmtId="200" fontId="6" fillId="9" borderId="2" xfId="0" applyNumberFormat="1" applyFont="1" applyFill="1" applyBorder="1"/>
    <x:xf numFmtId="202" fontId="6" fillId="9" borderId="2" xfId="0" applyNumberFormat="1" applyFont="1" applyFill="1" applyBorder="1"/>
    <x:xf numFmtId="0" fontId="0" fillId="8" borderId="2" xfId="0" applyNumberFormat="1" applyFont="1" applyFill="1" applyBorder="1"/>
    <x:xf numFmtId="200" fontId="6" fillId="8" borderId="2" xfId="0" applyNumberFormat="1" applyFont="1" applyFill="1" applyBorder="1"/>
    <x:xf numFmtId="202" fontId="6" fillId="8"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top" wrapText="1"/>
    </x:xf>
    <x:xf numFmtId="200" fontId="6" fillId="10" borderId="0" xfId="0" applyNumberFormat="1" applyFont="1" applyFill="1" applyBorder="1"/>
    <x:xf numFmtId="200" fontId="6" fillId="8" borderId="0" xfId="0" applyNumberFormat="1" applyFont="1" applyFill="1" applyBorder="1"/>
    <x:xf numFmtId="0" fontId="0" fillId="10" borderId="0" xfId="0" applyNumberFormat="1" applyFont="1" applyFill="1" applyBorder="1" applyAlignment="1">
      <x:alignment wrapText="1"/>
    </x:xf>
    <x:xf numFmtId="0" fontId="0" fillId="8" borderId="0" xfId="0" applyNumberFormat="1" applyFont="1" applyFill="1" applyBorder="1" applyAlignment="1">
      <x:alignment wrapText="1"/>
    </x:xf>
    <x:xf numFmtId="203" fontId="0" fillId="0" borderId="0" xfId="0" applyNumberFormat="1" applyFont="1" applyFill="1" applyBorder="1"/>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horizontal="center"/>
    </x:xf>
    <x:xf numFmtId="0" fontId="10" fillId="11" borderId="0" xfId="0" applyNumberFormat="1" applyFont="1" applyFill="1" applyBorder="1" applyAlignment="1">
      <x:alignment horizontal="center" vertical="center"/>
    </x:xf>
    <x:xf numFmtId="0" fontId="11" fillId="3" borderId="0" xfId="0" applyNumberFormat="1" applyFont="1" applyFill="1" applyBorder="1"/>
    <x:xf numFmtId="0" fontId="11" fillId="3" borderId="0" xfId="0" applyNumberFormat="1" applyFont="1" applyFill="1" applyBorder="1" applyAlignment="1">
      <x:alignment vertical="center"/>
    </x:xf>
    <x:xf numFmtId="0" fontId="0" fillId="9" borderId="0" xfId="0" applyNumberFormat="1" applyFont="1" applyFill="1" applyBorder="1"/>
    <x:xf numFmtId="0" fontId="4" fillId="9" borderId="0" xfId="0" applyNumberFormat="1" applyFont="1" applyFill="1" applyBorder="1" applyAlignment="1">
      <x:alignment horizontal="center"/>
    </x:xf>
    <x:xf numFmtId="0" fontId="0" fillId="12" borderId="0" xfId="0" applyNumberFormat="1" applyFont="1" applyFill="1" applyBorder="1"/>
    <x:xf numFmtId="0" fontId="12" fillId="12" borderId="0" xfId="0" applyNumberFormat="1" applyFont="1" applyFill="1" applyBorder="1"/>
    <x:xf numFmtId="0" fontId="12" fillId="12" borderId="4" xfId="0" applyNumberFormat="1" applyFont="1" applyFill="1" applyBorder="1"/>
    <x:xf numFmtId="0" fontId="12" fillId="12" borderId="5" xfId="0" applyNumberFormat="1" applyFont="1" applyFill="1" applyBorder="1"/>
    <x:xf numFmtId="0" fontId="12" fillId="12" borderId="6" xfId="0" applyNumberFormat="1" applyFont="1" applyFill="1" applyBorder="1"/>
    <x:xf numFmtId="0" fontId="12" fillId="12" borderId="7" xfId="0" applyNumberFormat="1" applyFont="1" applyFill="1" applyBorder="1"/>
    <x:xf numFmtId="0" fontId="12" fillId="12" borderId="8" xfId="0" applyNumberFormat="1" applyFont="1" applyFill="1" applyBorder="1"/>
    <x:xf numFmtId="0" fontId="12" fillId="12" borderId="9" xfId="0" applyNumberFormat="1" applyFont="1" applyFill="1" applyBorder="1"/>
    <x:xf numFmtId="0" fontId="12" fillId="12" borderId="10" xfId="0" applyNumberFormat="1" applyFont="1" applyFill="1" applyBorder="1"/>
    <x:xf numFmtId="0" fontId="12" fillId="12" borderId="11" xfId="0" applyNumberFormat="1" applyFont="1" applyFill="1" applyBorder="1"/>
    <x:xf numFmtId="200" fontId="12" fillId="12" borderId="4" xfId="0" applyNumberFormat="1" applyFont="1" applyFill="1" applyBorder="1"/>
    <x:xf numFmtId="200" fontId="12" fillId="12" borderId="5" xfId="0" applyNumberFormat="1" applyFont="1" applyFill="1" applyBorder="1"/>
    <x:xf numFmtId="200" fontId="12" fillId="12" borderId="6" xfId="0" applyNumberFormat="1" applyFont="1" applyFill="1" applyBorder="1"/>
    <x:xf numFmtId="200" fontId="12" fillId="12" borderId="7" xfId="0" applyNumberFormat="1" applyFont="1" applyFill="1" applyBorder="1"/>
    <x:xf numFmtId="200" fontId="12" fillId="12" borderId="0" xfId="0" applyNumberFormat="1" applyFont="1" applyFill="1" applyBorder="1"/>
    <x:xf numFmtId="200" fontId="12" fillId="12" borderId="8" xfId="0" applyNumberFormat="1" applyFont="1" applyFill="1" applyBorder="1"/>
    <x:xf numFmtId="200" fontId="12" fillId="12" borderId="9" xfId="0" applyNumberFormat="1" applyFont="1" applyFill="1" applyBorder="1"/>
    <x:xf numFmtId="200" fontId="12" fillId="12" borderId="10" xfId="0" applyNumberFormat="1" applyFont="1" applyFill="1" applyBorder="1"/>
    <x:xf numFmtId="200" fontId="12" fillId="12" borderId="11" xfId="0" applyNumberFormat="1" applyFont="1" applyFill="1" applyBorder="1"/>
    <x:xf numFmtId="200" fontId="12" fillId="12" borderId="4" xfId="0" applyNumberFormat="1" applyFont="1" applyFill="1" applyBorder="1" applyAlignment="1">
      <x:alignment horizontal="center"/>
    </x:xf>
    <x:xf numFmtId="200" fontId="12" fillId="12" borderId="5" xfId="0" applyNumberFormat="1" applyFont="1" applyFill="1" applyBorder="1" applyAlignment="1">
      <x:alignment horizontal="center"/>
    </x:xf>
    <x:xf numFmtId="200" fontId="12" fillId="12" borderId="6" xfId="0" applyNumberFormat="1" applyFont="1" applyFill="1" applyBorder="1" applyAlignment="1">
      <x:alignment horizontal="center"/>
    </x:xf>
    <x:xf numFmtId="200" fontId="12" fillId="12" borderId="7" xfId="0" applyNumberFormat="1" applyFont="1" applyFill="1" applyBorder="1" applyAlignment="1">
      <x:alignment horizontal="center"/>
    </x:xf>
    <x:xf numFmtId="200" fontId="12" fillId="12" borderId="0" xfId="0" applyNumberFormat="1" applyFont="1" applyFill="1" applyBorder="1" applyAlignment="1">
      <x:alignment horizontal="center"/>
    </x:xf>
    <x:xf numFmtId="200" fontId="12" fillId="12" borderId="8" xfId="0" applyNumberFormat="1" applyFont="1" applyFill="1" applyBorder="1" applyAlignment="1">
      <x:alignment horizontal="center"/>
    </x:xf>
    <x:xf numFmtId="200" fontId="12" fillId="12" borderId="9" xfId="0" applyNumberFormat="1" applyFont="1" applyFill="1" applyBorder="1" applyAlignment="1">
      <x:alignment horizontal="center"/>
    </x:xf>
    <x:xf numFmtId="200" fontId="12" fillId="12" borderId="10" xfId="0" applyNumberFormat="1" applyFont="1" applyFill="1" applyBorder="1" applyAlignment="1">
      <x:alignment horizontal="center"/>
    </x:xf>
    <x:xf numFmtId="200" fontId="12" fillId="12" borderId="11" xfId="0" applyNumberFormat="1" applyFont="1" applyFill="1" applyBorder="1" applyAlignment="1">
      <x:alignment horizontal="center"/>
    </x:xf>
    <x:xf numFmtId="200" fontId="12" fillId="12" borderId="4" xfId="0" applyNumberFormat="1" applyFont="1" applyFill="1" applyBorder="1" applyAlignment="1">
      <x:alignment horizontal="center" vertical="center"/>
    </x:xf>
    <x:xf numFmtId="200" fontId="12" fillId="12" borderId="5" xfId="0" applyNumberFormat="1" applyFont="1" applyFill="1" applyBorder="1" applyAlignment="1">
      <x:alignment horizontal="center" vertical="center"/>
    </x:xf>
    <x:xf numFmtId="200" fontId="12" fillId="12" borderId="6" xfId="0" applyNumberFormat="1" applyFont="1" applyFill="1" applyBorder="1" applyAlignment="1">
      <x:alignment horizontal="center" vertical="center"/>
    </x:xf>
    <x:xf numFmtId="200" fontId="12" fillId="12" borderId="7" xfId="0" applyNumberFormat="1" applyFont="1" applyFill="1" applyBorder="1" applyAlignment="1">
      <x:alignment horizontal="center" vertical="center"/>
    </x:xf>
    <x:xf numFmtId="200" fontId="12" fillId="12" borderId="0" xfId="0" applyNumberFormat="1" applyFont="1" applyFill="1" applyBorder="1" applyAlignment="1">
      <x:alignment horizontal="center" vertical="center"/>
    </x:xf>
    <x:xf numFmtId="200" fontId="12" fillId="12" borderId="8" xfId="0" applyNumberFormat="1" applyFont="1" applyFill="1" applyBorder="1" applyAlignment="1">
      <x:alignment horizontal="center" vertical="center"/>
    </x:xf>
    <x:xf numFmtId="200" fontId="12" fillId="12" borderId="9" xfId="0" applyNumberFormat="1" applyFont="1" applyFill="1" applyBorder="1" applyAlignment="1">
      <x:alignment horizontal="center" vertical="center"/>
    </x:xf>
    <x:xf numFmtId="200" fontId="12" fillId="12" borderId="10" xfId="0" applyNumberFormat="1" applyFont="1" applyFill="1" applyBorder="1" applyAlignment="1">
      <x:alignment horizontal="center" vertical="center"/>
    </x:xf>
    <x:xf numFmtId="200" fontId="12" fillId="12" borderId="11" xfId="0" applyNumberFormat="1" applyFont="1" applyFill="1" applyBorder="1" applyAlignment="1">
      <x:alignment horizontal="center" vertical="center"/>
    </x:xf>
    <x:xf numFmtId="202" fontId="12" fillId="12" borderId="4" xfId="0" applyNumberFormat="1" applyFont="1" applyFill="1" applyBorder="1"/>
    <x:xf numFmtId="202" fontId="12" fillId="12" borderId="5" xfId="0" applyNumberFormat="1" applyFont="1" applyFill="1" applyBorder="1"/>
    <x:xf numFmtId="202" fontId="12" fillId="12" borderId="6" xfId="0" applyNumberFormat="1" applyFont="1" applyFill="1" applyBorder="1"/>
    <x:xf numFmtId="202" fontId="12" fillId="12" borderId="7" xfId="0" applyNumberFormat="1" applyFont="1" applyFill="1" applyBorder="1"/>
    <x:xf numFmtId="202" fontId="12" fillId="12" borderId="0" xfId="0" applyNumberFormat="1" applyFont="1" applyFill="1" applyBorder="1"/>
    <x:xf numFmtId="202" fontId="12" fillId="12" borderId="8" xfId="0" applyNumberFormat="1" applyFont="1" applyFill="1" applyBorder="1"/>
    <x:xf numFmtId="202" fontId="12" fillId="12" borderId="9" xfId="0" applyNumberFormat="1" applyFont="1" applyFill="1" applyBorder="1"/>
    <x:xf numFmtId="202" fontId="12" fillId="12" borderId="10" xfId="0" applyNumberFormat="1" applyFont="1" applyFill="1" applyBorder="1"/>
    <x:xf numFmtId="202" fontId="12" fillId="12" borderId="11" xfId="0" applyNumberFormat="1" applyFont="1" applyFill="1" applyBorder="1"/>
    <x:xf numFmtId="202" fontId="12" fillId="12" borderId="4" xfId="0" applyNumberFormat="1" applyFont="1" applyFill="1" applyBorder="1" applyAlignment="1">
      <x:alignment horizontal="center"/>
    </x:xf>
    <x:xf numFmtId="202" fontId="12" fillId="12" borderId="5" xfId="0" applyNumberFormat="1" applyFont="1" applyFill="1" applyBorder="1" applyAlignment="1">
      <x:alignment horizontal="center"/>
    </x:xf>
    <x:xf numFmtId="202" fontId="12" fillId="12" borderId="6" xfId="0" applyNumberFormat="1" applyFont="1" applyFill="1" applyBorder="1" applyAlignment="1">
      <x:alignment horizontal="center"/>
    </x:xf>
    <x:xf numFmtId="202" fontId="12" fillId="12" borderId="7" xfId="0" applyNumberFormat="1" applyFont="1" applyFill="1" applyBorder="1" applyAlignment="1">
      <x:alignment horizontal="center"/>
    </x:xf>
    <x:xf numFmtId="202" fontId="12" fillId="12" borderId="0" xfId="0" applyNumberFormat="1" applyFont="1" applyFill="1" applyBorder="1" applyAlignment="1">
      <x:alignment horizontal="center"/>
    </x:xf>
    <x:xf numFmtId="202" fontId="12" fillId="12" borderId="8" xfId="0" applyNumberFormat="1" applyFont="1" applyFill="1" applyBorder="1" applyAlignment="1">
      <x:alignment horizontal="center"/>
    </x:xf>
    <x:xf numFmtId="202" fontId="12" fillId="12" borderId="9" xfId="0" applyNumberFormat="1" applyFont="1" applyFill="1" applyBorder="1" applyAlignment="1">
      <x:alignment horizontal="center"/>
    </x:xf>
    <x:xf numFmtId="202" fontId="12" fillId="12" borderId="10" xfId="0" applyNumberFormat="1" applyFont="1" applyFill="1" applyBorder="1" applyAlignment="1">
      <x:alignment horizontal="center"/>
    </x:xf>
    <x:xf numFmtId="202" fontId="12" fillId="12" borderId="11" xfId="0" applyNumberFormat="1" applyFont="1" applyFill="1" applyBorder="1" applyAlignment="1">
      <x:alignment horizontal="center"/>
    </x:xf>
    <x:xf numFmtId="202" fontId="12" fillId="12" borderId="4" xfId="0" applyNumberFormat="1" applyFont="1" applyFill="1" applyBorder="1" applyAlignment="1">
      <x:alignment horizontal="center" vertical="center"/>
    </x:xf>
    <x:xf numFmtId="202" fontId="12" fillId="12" borderId="5" xfId="0" applyNumberFormat="1" applyFont="1" applyFill="1" applyBorder="1" applyAlignment="1">
      <x:alignment horizontal="center" vertical="center"/>
    </x:xf>
    <x:xf numFmtId="202" fontId="12" fillId="12" borderId="6" xfId="0" applyNumberFormat="1" applyFont="1" applyFill="1" applyBorder="1" applyAlignment="1">
      <x:alignment horizontal="center" vertical="center"/>
    </x:xf>
    <x:xf numFmtId="202" fontId="12" fillId="12" borderId="7" xfId="0" applyNumberFormat="1" applyFont="1" applyFill="1" applyBorder="1" applyAlignment="1">
      <x:alignment horizontal="center" vertical="center"/>
    </x:xf>
    <x:xf numFmtId="202" fontId="12" fillId="12" borderId="0" xfId="0" applyNumberFormat="1" applyFont="1" applyFill="1" applyBorder="1" applyAlignment="1">
      <x:alignment horizontal="center" vertical="center"/>
    </x:xf>
    <x:xf numFmtId="202" fontId="12" fillId="12" borderId="8" xfId="0" applyNumberFormat="1" applyFont="1" applyFill="1" applyBorder="1" applyAlignment="1">
      <x:alignment horizontal="center" vertical="center"/>
    </x:xf>
    <x:xf numFmtId="202" fontId="12" fillId="12" borderId="9" xfId="0" applyNumberFormat="1" applyFont="1" applyFill="1" applyBorder="1" applyAlignment="1">
      <x:alignment horizontal="center" vertical="center"/>
    </x:xf>
    <x:xf numFmtId="202" fontId="12" fillId="12" borderId="10" xfId="0" applyNumberFormat="1" applyFont="1" applyFill="1" applyBorder="1" applyAlignment="1">
      <x:alignment horizontal="center" vertical="center"/>
    </x:xf>
    <x:xf numFmtId="202" fontId="12" fillId="12" borderId="11"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4" fillId="9" borderId="0" xfId="0" applyNumberFormat="1" applyFont="1" applyFill="1" applyBorder="1" applyAlignment="1">
      <x:alignment horizontal="center" vertical="center"/>
    </x:xf>
    <x:xf numFmtId="0"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200" fontId="5" fillId="6" borderId="4" xfId="0" applyNumberFormat="1" applyFont="1" applyFill="1" applyBorder="1" applyAlignment="1">
      <x:alignment vertical="center"/>
    </x:xf>
    <x:xf numFmtId="200" fontId="5" fillId="6" borderId="5" xfId="0" applyNumberFormat="1" applyFont="1" applyFill="1" applyBorder="1" applyAlignment="1">
      <x:alignment vertical="center"/>
    </x:xf>
    <x:xf numFmtId="200" fontId="5" fillId="6" borderId="6" xfId="0" applyNumberFormat="1" applyFont="1" applyFill="1" applyBorder="1" applyAlignment="1">
      <x:alignment vertical="center"/>
    </x:xf>
    <x:xf numFmtId="202" fontId="5" fillId="7" borderId="12" xfId="0" applyNumberFormat="1" applyFont="1" applyFill="1" applyBorder="1" applyAlignment="1">
      <x:alignment vertical="center" wrapText="1"/>
    </x:xf>
    <x:xf numFmtId="200" fontId="5" fillId="6" borderId="7" xfId="0" applyNumberFormat="1" applyFont="1" applyFill="1" applyBorder="1" applyAlignment="1">
      <x:alignment vertical="center"/>
    </x:xf>
    <x:xf numFmtId="200" fontId="5" fillId="6" borderId="0" xfId="0" applyNumberFormat="1" applyFont="1" applyFill="1" applyBorder="1" applyAlignment="1">
      <x:alignment vertical="center"/>
    </x:xf>
    <x:xf numFmtId="200" fontId="5" fillId="6" borderId="8" xfId="0" applyNumberFormat="1" applyFont="1" applyFill="1" applyBorder="1" applyAlignment="1">
      <x:alignment vertical="center"/>
    </x:xf>
    <x:xf numFmtId="200" fontId="5" fillId="7" borderId="13" xfId="0" applyNumberFormat="1" applyFont="1" applyFill="1" applyBorder="1" applyAlignment="1">
      <x:alignment vertical="center" wrapText="1"/>
    </x:xf>
    <x:xf numFmtId="201" fontId="5" fillId="6" borderId="7" xfId="0" applyNumberFormat="1" applyFont="1" applyFill="1" applyBorder="1" applyAlignment="1">
      <x:alignment vertical="center"/>
    </x:xf>
    <x:xf numFmtId="201" fontId="5" fillId="6" borderId="0" xfId="0" applyNumberFormat="1" applyFont="1" applyFill="1" applyBorder="1" applyAlignment="1">
      <x:alignment vertical="center"/>
    </x:xf>
    <x:xf numFmtId="201" fontId="5" fillId="6" borderId="8" xfId="0" applyNumberFormat="1" applyFont="1" applyFill="1" applyBorder="1" applyAlignment="1">
      <x:alignment vertical="center"/>
    </x:xf>
    <x:xf numFmtId="202" fontId="5" fillId="7" borderId="13" xfId="0" applyNumberFormat="1" applyFont="1" applyFill="1" applyBorder="1" applyAlignment="1">
      <x:alignment vertical="center" wrapText="1"/>
    </x:xf>
    <x:xf numFmtId="201" fontId="5" fillId="6" borderId="9" xfId="0" applyNumberFormat="1" applyFont="1" applyFill="1" applyBorder="1" applyAlignment="1">
      <x:alignment vertical="center"/>
    </x:xf>
    <x:xf numFmtId="201" fontId="5" fillId="6" borderId="10" xfId="0" applyNumberFormat="1" applyFont="1" applyFill="1" applyBorder="1" applyAlignment="1">
      <x:alignment vertical="center"/>
    </x:xf>
    <x:xf numFmtId="201" fontId="5" fillId="6" borderId="11" xfId="0" applyNumberFormat="1" applyFont="1" applyFill="1" applyBorder="1" applyAlignment="1">
      <x:alignment vertical="center"/>
    </x:xf>
    <x:xf numFmtId="203" fontId="5" fillId="7" borderId="13" xfId="0" applyNumberFormat="1" applyFont="1" applyFill="1" applyBorder="1" applyAlignment="1">
      <x:alignment vertical="center" wrapText="1"/>
    </x:xf>
    <x:xf numFmtId="203" fontId="5" fillId="7" borderId="14" xfId="0" applyNumberFormat="1" applyFont="1" applyFill="1" applyBorder="1" applyAlignment="1">
      <x:alignment vertical="center" wrapText="1"/>
    </x:xf>
    <x:xf numFmtId="202" fontId="5" fillId="7" borderId="14" xfId="0" applyNumberFormat="1" applyFont="1" applyFill="1" applyBorder="1" applyAlignment="1">
      <x:alignment vertical="center" wrapText="1"/>
    </x:xf>
    <x:xf numFmtId="0" fontId="0" fillId="0" borderId="10" xfId="0" applyNumberFormat="1" applyFont="1" applyFill="1" applyBorder="1" applyAlignment="1">
      <x:alignment vertical="center"/>
    </x:xf>
    <x:xf numFmtId="200" fontId="5" fillId="6" borderId="9" xfId="0" applyNumberFormat="1" applyFont="1" applyFill="1" applyBorder="1" applyAlignment="1">
      <x:alignment vertical="center"/>
    </x:xf>
    <x:xf numFmtId="203" fontId="5" fillId="6" borderId="10" xfId="0" applyNumberFormat="1" applyFont="1" applyFill="1" applyBorder="1" applyAlignment="1">
      <x:alignment vertical="center"/>
    </x:xf>
    <x:xf numFmtId="200" fontId="5" fillId="6" borderId="10" xfId="0" applyNumberFormat="1" applyFont="1" applyFill="1" applyBorder="1" applyAlignment="1">
      <x:alignment vertical="center"/>
    </x:xf>
    <x:xf numFmtId="202" fontId="5" fillId="6" borderId="10" xfId="0" applyNumberFormat="1" applyFont="1" applyFill="1" applyBorder="1" applyAlignment="1">
      <x:alignment vertical="center"/>
    </x:xf>
    <x:xf numFmtId="0" fontId="0" fillId="0" borderId="2" xfId="0" applyNumberFormat="1" applyFont="1" applyFill="1" applyBorder="1" applyAlignment="1">
      <x:alignment vertical="center"/>
    </x:xf>
    <x:xf numFmtId="200" fontId="5" fillId="6" borderId="1" xfId="0" applyNumberFormat="1" applyFont="1" applyFill="1" applyBorder="1" applyAlignment="1">
      <x:alignment vertical="center"/>
    </x:xf>
    <x:xf numFmtId="203" fontId="5" fillId="6" borderId="2" xfId="0" applyNumberFormat="1" applyFont="1" applyFill="1" applyBorder="1" applyAlignment="1">
      <x:alignment vertical="center"/>
    </x:xf>
    <x:xf numFmtId="200" fontId="5" fillId="6" borderId="2" xfId="0" applyNumberFormat="1" applyFont="1" applyFill="1" applyBorder="1" applyAlignment="1">
      <x:alignment vertical="center"/>
    </x:xf>
    <x:xf numFmtId="202" fontId="5" fillId="6" borderId="2" xfId="0" applyNumberFormat="1" applyFont="1" applyFill="1" applyBorder="1" applyAlignment="1">
      <x:alignment vertical="center"/>
    </x:xf>
    <x:xf numFmtId="201" fontId="5" fillId="6" borderId="2" xfId="0" applyNumberFormat="1" applyFont="1" applyFill="1" applyBorder="1" applyAlignment="1">
      <x:alignment vertical="center"/>
    </x:xf>
    <x:xf numFmtId="0" fontId="0" fillId="0" borderId="5" xfId="0" applyNumberFormat="1" applyFont="1" applyFill="1" applyBorder="1" applyAlignment="1">
      <x:alignment vertical="center"/>
    </x:xf>
    <x:xf numFmtId="203" fontId="5" fillId="6" borderId="5" xfId="0" applyNumberFormat="1" applyFont="1" applyFill="1" applyBorder="1" applyAlignment="1">
      <x:alignment vertical="center"/>
    </x:xf>
    <x:xf numFmtId="202" fontId="5" fillId="6" borderId="5" xfId="0" applyNumberFormat="1" applyFont="1" applyFill="1" applyBorder="1" applyAlignment="1">
      <x:alignment vertical="center"/>
    </x:xf>
    <x:xf numFmtId="201" fontId="5" fillId="6" borderId="5" xfId="0" applyNumberFormat="1" applyFont="1" applyFill="1" applyBorder="1" applyAlignment="1">
      <x:alignment vertical="center"/>
    </x:xf>
    <x:xf numFmtId="200" fontId="5" fillId="6" borderId="4" xfId="0" applyNumberFormat="1" applyFont="1" applyFill="1" applyBorder="1" applyAlignment="1">
      <x:alignment vertical="center" wrapText="1"/>
    </x:xf>
    <x:xf numFmtId="200" fontId="5" fillId="6" borderId="5" xfId="0" applyNumberFormat="1" applyFont="1" applyFill="1" applyBorder="1" applyAlignment="1">
      <x:alignment vertical="center" wrapText="1"/>
    </x:xf>
    <x:xf numFmtId="202" fontId="5" fillId="6" borderId="6" xfId="0" applyNumberFormat="1" applyFont="1" applyFill="1" applyBorder="1" applyAlignment="1">
      <x:alignment vertical="center" wrapText="1"/>
    </x:xf>
    <x:xf numFmtId="202" fontId="5" fillId="6" borderId="4" xfId="0" applyNumberFormat="1" applyFont="1" applyFill="1" applyBorder="1" applyAlignment="1">
      <x:alignment vertical="center"/>
    </x:xf>
    <x:xf numFmtId="202" fontId="5" fillId="6" borderId="6" xfId="0" applyNumberFormat="1" applyFont="1" applyFill="1" applyBorder="1" applyAlignment="1">
      <x:alignment vertical="center"/>
    </x:xf>
    <x:xf numFmtId="200" fontId="5" fillId="6" borderId="7" xfId="0" applyNumberFormat="1" applyFont="1" applyFill="1" applyBorder="1" applyAlignment="1">
      <x:alignment vertical="center" wrapText="1"/>
    </x:xf>
    <x:xf numFmtId="200" fontId="5" fillId="6" borderId="0" xfId="0" applyNumberFormat="1" applyFont="1" applyFill="1" applyBorder="1" applyAlignment="1">
      <x:alignment vertical="center" wrapText="1"/>
    </x:xf>
    <x:xf numFmtId="202" fontId="5" fillId="6" borderId="8" xfId="0" applyNumberFormat="1" applyFont="1" applyFill="1" applyBorder="1" applyAlignment="1">
      <x:alignment vertical="center" wrapText="1"/>
    </x:xf>
    <x:xf numFmtId="202" fontId="5" fillId="6" borderId="7" xfId="0" applyNumberFormat="1" applyFont="1" applyFill="1" applyBorder="1" applyAlignment="1">
      <x:alignment vertical="center"/>
    </x:xf>
    <x:xf numFmtId="202" fontId="5" fillId="6" borderId="0" xfId="0" applyNumberFormat="1" applyFont="1" applyFill="1" applyBorder="1" applyAlignment="1">
      <x:alignment vertical="center"/>
    </x:xf>
    <x:xf numFmtId="202" fontId="5" fillId="6" borderId="8" xfId="0" applyNumberFormat="1" applyFont="1" applyFill="1" applyBorder="1" applyAlignment="1">
      <x:alignment vertical="center"/>
    </x:xf>
    <x:xf numFmtId="202" fontId="5" fillId="6" borderId="9" xfId="0" applyNumberFormat="1" applyFont="1" applyFill="1" applyBorder="1" applyAlignment="1">
      <x:alignment vertical="center"/>
    </x:xf>
    <x:xf numFmtId="202" fontId="5" fillId="6" borderId="11" xfId="0" applyNumberFormat="1" applyFont="1" applyFill="1" applyBorder="1" applyAlignment="1">
      <x:alignment vertical="center"/>
    </x:xf>
    <x:xf numFmtId="200" fontId="5" fillId="6" borderId="9" xfId="0" applyNumberFormat="1" applyFont="1" applyFill="1" applyBorder="1" applyAlignment="1">
      <x:alignment vertical="center" wrapText="1"/>
    </x:xf>
    <x:xf numFmtId="200" fontId="5" fillId="6" borderId="10" xfId="0" applyNumberFormat="1" applyFont="1" applyFill="1" applyBorder="1" applyAlignment="1">
      <x:alignment vertical="center" wrapText="1"/>
    </x:xf>
    <x:xf numFmtId="202" fontId="5" fillId="6" borderId="11" xfId="0" applyNumberFormat="1" applyFont="1" applyFill="1" applyBorder="1" applyAlignment="1">
      <x:alignment vertical="center" wrapText="1"/>
    </x:xf>
    <x:xf numFmtId="203"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2" fontId="7" fillId="0" borderId="0" xfId="0" applyNumberFormat="1" applyFont="1" applyFill="1" applyBorder="1" applyAlignment="1">
      <x:alignment vertical="center"/>
    </x:xf>
    <x:xf numFmtId="200" fontId="6" fillId="0" borderId="10" xfId="0" applyNumberFormat="1" applyFont="1" applyFill="1" applyBorder="1" applyAlignment="1">
      <x:alignment vertical="center"/>
    </x:xf>
    <x:xf numFmtId="200" fontId="0" fillId="0" borderId="0" xfId="0" applyNumberFormat="1" applyFont="1" applyFill="1" applyBorder="1" applyAlignment="1">
      <x:alignment vertical="center"/>
    </x:xf>
    <x:xf numFmtId="202" fontId="6" fillId="0" borderId="2" xfId="0" applyNumberFormat="1" applyFont="1" applyFill="1" applyBorder="1" applyAlignment="1">
      <x:alignment vertical="center"/>
    </x:xf>
    <x:xf numFmtId="201" fontId="6" fillId="0" borderId="2" xfId="0" applyNumberFormat="1" applyFont="1" applyFill="1" applyBorder="1" applyAlignment="1">
      <x:alignment vertical="center"/>
    </x:xf>
    <x:xf numFmtId="200" fontId="6" fillId="0" borderId="2" xfId="0" applyNumberFormat="1" applyFont="1" applyFill="1" applyBorder="1" applyAlignment="1">
      <x:alignment vertical="center"/>
    </x:xf>
    <x:xf numFmtId="0" fontId="0" fillId="9" borderId="2" xfId="0" applyNumberFormat="1" applyFont="1" applyFill="1" applyBorder="1" applyAlignment="1">
      <x:alignment vertical="center"/>
    </x:xf>
    <x:xf numFmtId="200" fontId="6" fillId="9" borderId="2" xfId="0" applyNumberFormat="1" applyFont="1" applyFill="1" applyBorder="1" applyAlignment="1">
      <x:alignment vertical="center"/>
    </x:xf>
    <x:xf numFmtId="202" fontId="6" fillId="9" borderId="2" xfId="0" applyNumberFormat="1" applyFont="1" applyFill="1" applyBorder="1" applyAlignment="1">
      <x:alignment vertical="center"/>
    </x:xf>
    <x:xf numFmtId="0" fontId="0" fillId="8" borderId="2" xfId="0" applyNumberFormat="1" applyFont="1" applyFill="1" applyBorder="1" applyAlignment="1">
      <x:alignment vertical="center"/>
    </x:xf>
    <x:xf numFmtId="200" fontId="6" fillId="8" borderId="2" xfId="0" applyNumberFormat="1" applyFont="1" applyFill="1" applyBorder="1" applyAlignment="1">
      <x:alignment vertical="center"/>
    </x:xf>
    <x:xf numFmtId="202" fontId="6" fillId="8" borderId="2" xfId="0" applyNumberFormat="1" applyFont="1" applyFill="1" applyBorder="1" applyAlignment="1">
      <x:alignment vertical="center"/>
    </x:xf>
    <x:xf numFmtId="200" fontId="6" fillId="0" borderId="5" xfId="0" applyNumberFormat="1" applyFont="1" applyFill="1" applyBorder="1" applyAlignment="1">
      <x:alignment vertical="center"/>
    </x:xf>
    <x:xf numFmtId="201"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0" fontId="9" fillId="0" borderId="0" xfId="0" applyNumberFormat="1" applyFont="1" applyFill="1" applyBorder="1" applyAlignment="1">
      <x:alignment vertical="center"/>
    </x:xf>
    <x:xf numFmtId="200" fontId="9" fillId="0" borderId="0" xfId="0" applyNumberFormat="1" applyFont="1" applyFill="1" applyBorder="1" applyAlignment="1">
      <x:alignment vertical="center"/>
    </x:xf>
    <x:xf numFmtId="0" fontId="4" fillId="9" borderId="15" xfId="0" applyNumberFormat="1" applyFont="1" applyFill="1" applyBorder="1" applyAlignment="1">
      <x:alignment vertical="center"/>
    </x:xf>
    <x:xf numFmtId="200" fontId="4" fillId="9" borderId="15" xfId="0" applyNumberFormat="1" applyFont="1" applyFill="1" applyBorder="1" applyAlignment="1">
      <x:alignment vertical="center"/>
    </x:xf>
    <x:xf numFmtId="200" fontId="7" fillId="0" borderId="0" xfId="0" applyNumberFormat="1" applyFont="1" applyFill="1" applyBorder="1" applyAlignment="1">
      <x:alignment vertical="center"/>
    </x:xf>
    <x:xf numFmtId="0" fontId="2" fillId="10" borderId="0" xfId="0" applyNumberFormat="1" applyFont="1" applyFill="1" applyBorder="1" applyAlignment="1">
      <x:alignment vertical="center" wrapText="1"/>
    </x:xf>
    <x:xf numFmtId="0" fontId="0" fillId="10" borderId="0" xfId="0" applyNumberFormat="1" applyFont="1" applyFill="1" applyBorder="1" applyAlignment="1">
      <x:alignment vertical="center"/>
    </x:xf>
    <x:xf numFmtId="200" fontId="6" fillId="10" borderId="0" xfId="0" applyNumberFormat="1" applyFont="1" applyFill="1" applyBorder="1" applyAlignment="1">
      <x:alignment vertical="center"/>
    </x:xf>
    <x:xf numFmtId="0" fontId="0" fillId="10" borderId="0" xfId="0" applyNumberFormat="1" applyFont="1" applyFill="1" applyBorder="1" applyAlignment="1">
      <x:alignment vertical="center" wrapText="1"/>
    </x:xf>
    <x:xf numFmtId="0" fontId="0" fillId="8" borderId="0" xfId="0" applyNumberFormat="1" applyFont="1" applyFill="1" applyBorder="1" applyAlignment="1">
      <x:alignment vertical="center"/>
    </x:xf>
    <x:xf numFmtId="200" fontId="6" fillId="8" borderId="0" xfId="0" applyNumberFormat="1" applyFont="1" applyFill="1" applyBorder="1" applyAlignment="1">
      <x:alignment vertical="center"/>
    </x:xf>
    <x:xf numFmtId="0" fontId="0" fillId="8" borderId="0" xfId="0" applyNumberFormat="1" applyFont="1" applyFill="1" applyBorder="1" applyAlignment="1">
      <x:alignment vertical="center" wrapText="1"/>
    </x:xf>
    <x:xf numFmtId="203"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0" fontId="1" fillId="13" borderId="0" xfId="0" applyNumberFormat="1" applyFont="1" applyFill="1" applyBorder="1" applyAlignment="1">
      <x:alignment horizontal="left" vertical="center"/>
    </x:xf>
    <x:xf numFmtId="0" fontId="3" fillId="14" borderId="0" xfId="0" applyNumberFormat="1" applyFont="1" applyFill="1" applyBorder="1" applyAlignment="1">
      <x:alignment vertical="center"/>
    </x:xf>
    <x:xf numFmtId="0" fontId="4" fillId="15" borderId="0" xfId="0" applyNumberFormat="1" applyFont="1" applyFill="1" applyBorder="1" applyAlignment="1">
      <x:alignment horizontal="center" vertical="center"/>
    </x:xf>
    <x:xf numFmtId="0" fontId="13" fillId="15" borderId="0" xfId="0" applyNumberFormat="1" applyFont="1" applyFill="1" applyBorder="1" applyAlignment="1">
      <x:alignment horizontal="center" vertical="center"/>
    </x:xf>
    <x:xf numFmtId="200" fontId="14" fillId="12" borderId="4" xfId="0" applyNumberFormat="1" applyFont="1" applyFill="1" applyBorder="1" applyAlignment="1">
      <x:alignment horizontal="center" vertical="center"/>
    </x:xf>
    <x:xf numFmtId="202" fontId="14" fillId="12" borderId="4" xfId="0" applyNumberFormat="1" applyFont="1" applyFill="1" applyBorder="1" applyAlignment="1">
      <x:alignment horizontal="center" vertical="center"/>
    </x:xf>
    <x:xf numFmtId="0" fontId="4" fillId="16" borderId="1" xfId="0" applyNumberFormat="1" applyFont="1" applyFill="1" applyBorder="1" applyAlignment="1">
      <x:alignment vertical="center" wrapText="1"/>
    </x:xf>
    <x:xf numFmtId="0" fontId="13" fillId="16" borderId="1" xfId="0" applyNumberFormat="1" applyFont="1" applyFill="1" applyBorder="1" applyAlignment="1">
      <x:alignment vertical="center" wrapText="1"/>
    </x:xf>
    <x:xf numFmtId="0" fontId="4" fillId="16" borderId="2" xfId="0" applyNumberFormat="1" applyFont="1" applyFill="1" applyBorder="1" applyAlignment="1">
      <x:alignment vertical="center" wrapText="1"/>
    </x:xf>
    <x:xf numFmtId="0" fontId="13" fillId="16" borderId="2" xfId="0" applyNumberFormat="1" applyFont="1" applyFill="1" applyBorder="1" applyAlignment="1">
      <x:alignment vertical="center" wrapText="1"/>
    </x:xf>
    <x:xf numFmtId="0" fontId="4" fillId="16" borderId="3" xfId="0" applyNumberFormat="1" applyFont="1" applyFill="1" applyBorder="1" applyAlignment="1">
      <x:alignment vertical="center" wrapText="1"/>
    </x:xf>
    <x:xf numFmtId="0" fontId="13" fillId="16" borderId="3" xfId="0" applyNumberFormat="1" applyFont="1" applyFill="1" applyBorder="1" applyAlignment="1">
      <x:alignment vertical="center" wrapText="1"/>
    </x:xf>
    <x:xf numFmtId="0" fontId="8" fillId="15" borderId="4" xfId="0" applyNumberFormat="1" applyFont="1" applyFill="1" applyBorder="1" applyAlignment="1">
      <x:alignment vertical="center" wrapText="1"/>
    </x:xf>
    <x:xf numFmtId="0" fontId="15" fillId="15" borderId="4" xfId="0" applyNumberFormat="1" applyFont="1" applyFill="1" applyBorder="1" applyAlignment="1">
      <x:alignment vertical="center" wrapText="1"/>
    </x:xf>
    <x:xf numFmtId="0" fontId="0" fillId="15" borderId="2" xfId="0" applyNumberFormat="1" applyFont="1" applyFill="1" applyBorder="1" applyAlignment="1">
      <x:alignment vertical="center"/>
    </x:xf>
    <x:xf numFmtId="200" fontId="6" fillId="15" borderId="2" xfId="0" applyNumberFormat="1" applyFont="1" applyFill="1" applyBorder="1" applyAlignment="1">
      <x:alignment vertical="center"/>
    </x:xf>
    <x:xf numFmtId="202" fontId="6" fillId="15" borderId="2" xfId="0" applyNumberFormat="1" applyFont="1" applyFill="1" applyBorder="1" applyAlignment="1">
      <x:alignment vertical="center"/>
    </x:xf>
    <x:xf numFmtId="0" fontId="4" fillId="15" borderId="15" xfId="0" applyNumberFormat="1" applyFont="1" applyFill="1" applyBorder="1" applyAlignment="1">
      <x:alignment vertical="center"/>
    </x:xf>
    <x:xf numFmtId="0" fontId="13" fillId="15" borderId="15" xfId="0" applyNumberFormat="1" applyFont="1" applyFill="1" applyBorder="1" applyAlignment="1">
      <x:alignment vertical="center"/>
    </x:xf>
    <x:xf numFmtId="200" fontId="4" fillId="15" borderId="15" xfId="0" applyNumberFormat="1" applyFont="1" applyFill="1" applyBorder="1" applyAlignment="1">
      <x:alignment vertical="center"/>
    </x:xf>
    <x:xf numFmtId="200" fontId="13" fillId="15" borderId="15" xfId="0" applyNumberFormat="1" applyFont="1" applyFill="1" applyBorder="1" applyAlignment="1">
      <x:alignment vertical="center"/>
    </x:xf>
    <x:xf numFmtId="0" fontId="0" fillId="15" borderId="0" xfId="0" applyNumberFormat="1" applyFont="1" applyFill="1" applyBorder="1" applyAlignment="1">
      <x:alignment vertical="center"/>
    </x:xf>
    <x:xf numFmtId="200" fontId="6" fillId="15" borderId="0" xfId="0" applyNumberFormat="1" applyFont="1" applyFill="1" applyBorder="1" applyAlignment="1">
      <x:alignment vertical="center"/>
    </x:xf>
    <x:xf numFmtId="0" fontId="0" fillId="15" borderId="0" xfId="0" applyNumberFormat="1" applyFont="1" applyFill="1" applyBorder="1" applyAlignment="1">
      <x:alignment vertical="center" wrapText="1"/>
    </x:xf>
    <x:xf numFmtId="0" fontId="1" fillId="13" borderId="0" xfId="0" applyNumberFormat="1" applyFont="1" applyFill="1" applyBorder="1" applyAlignment="1">
      <x:alignment horizontal="left" vertical="bottom"/>
    </x:xf>
  </x:cellXfs>
  <x:cellStyles count="1">
    <x:cellStyle name="Normal" xfId="0"/>
  </x:cellStyles>
  <x:dxfs count="12">
    <x:dxf>
      <x:font>
        <x:b/>
        <x:color rgb="FF1E8449"/>
      </x:font>
      <x:fill>
        <x:patternFill>
          <x:bgColor rgb="FFE9F7EF"/>
        </x:patternFill>
      </x:fill>
    </x:dxf>
    <x:dxf>
      <x:font>
        <x:b/>
        <x:color rgb="FF8A5A00"/>
      </x:font>
      <x:fill>
        <x:patternFill>
          <x:bgColor rgb="FFFFF4D6"/>
        </x:patternFill>
      </x:fill>
    </x:dxf>
    <x:dxf>
      <x:font>
        <x:b/>
        <x:color rgb="FFC0392B"/>
      </x:font>
      <x:fill>
        <x:patternFill>
          <x:bgColor rgb="FFFDEDEC"/>
        </x:patternFill>
      </x:fill>
    </x:dxf>
    <x:dxf>
      <x:font>
        <x:b/>
        <x:color rgb="FFC0392B"/>
      </x:font>
      <x:fill>
        <x:patternFill>
          <x:bgColor rgb="FFFDEDEC"/>
        </x:patternFill>
      </x:fill>
    </x:dxf>
    <x:dxf>
      <x:font>
        <x:b/>
        <x:color rgb="FF8A5A00"/>
      </x:font>
      <x:fill>
        <x:patternFill>
          <x:bgColor rgb="FFFFF4D6"/>
        </x:patternFill>
      </x:fill>
    </x:dxf>
    <x:dxf>
      <x:font>
        <x:b/>
        <x:color rgb="FF1E8449"/>
      </x:font>
      <x:fill>
        <x:patternFill>
          <x:bgColor rgb="FFE9F7EF"/>
        </x:patternFill>
      </x:fill>
    </x:dxf>
    <x:dxf>
      <x:font>
        <x:b/>
        <x:color rgb="FFC0392B"/>
      </x:font>
      <x:fill>
        <x:patternFill>
          <x:bgColor rgb="FFFDEDEC"/>
        </x:patternFill>
      </x:fill>
    </x:dxf>
    <x:dxf>
      <x:font>
        <x:b/>
        <x:color rgb="FF8A5A00"/>
      </x:font>
      <x:fill>
        <x:patternFill>
          <x:bgColor rgb="FFFFF4D6"/>
        </x:patternFill>
      </x:fill>
    </x:dxf>
    <x:dxf>
      <x:font>
        <x:b/>
        <x:color rgb="FF1E8449"/>
      </x:font>
      <x:fill>
        <x:patternFill>
          <x:bgColor rgb="FFE9F7EF"/>
        </x:patternFill>
      </x:fill>
    </x:dxf>
    <x:dxf>
      <x:font>
        <x:b/>
        <x:color rgb="FF1E8449"/>
      </x:font>
      <x:fill>
        <x:patternFill>
          <x:bgColor rgb="FFE9F7EF"/>
        </x:patternFill>
      </x:fill>
    </x:dxf>
    <x:dxf>
      <x:font>
        <x:b/>
        <x:color rgb="FFC0392B"/>
      </x:font>
      <x:fill>
        <x:patternFill>
          <x:bgColor rgb="FFFDEDEC"/>
        </x:patternFill>
      </x:fill>
    </x:dxf>
    <x:dxf>
      <x:font>
        <x:b/>
        <x:color rgb="FF1E8449"/>
      </x:font>
      <x:fill>
        <x:patternFill>
          <x:bgColor rgb="FFE9F7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23c152eff8495b" /><Relationship Type="http://schemas.openxmlformats.org/officeDocument/2006/relationships/theme" Target="/xl/theme/theme1.xml" Id="Rf169074b538e425e" /><Relationship Type="http://schemas.openxmlformats.org/officeDocument/2006/relationships/sharedStrings" Target="/xl/sharedStrings.xml" Id="R224b6cecf9384085" /><Relationship Type="http://schemas.openxmlformats.org/officeDocument/2006/relationships/worksheet" Target="/xl/worksheets/sheet1.xml" Id="R0b59ed0ea39b4041" /><Relationship Type="http://schemas.openxmlformats.org/officeDocument/2006/relationships/worksheet" Target="/xl/worksheets/sheet2.xml" Id="Rb9f852e65f3d4f00" /><Relationship Type="http://schemas.openxmlformats.org/officeDocument/2006/relationships/worksheet" Target="/xl/worksheets/sheet3.xml" Id="R2a9ba56584484199" /><Relationship Type="http://schemas.openxmlformats.org/officeDocument/2006/relationships/worksheet" Target="/xl/worksheets/sheet4.xml" Id="R8d5c5e0feb2c4ec8" /><Relationship Type="http://schemas.openxmlformats.org/officeDocument/2006/relationships/worksheet" Target="/xl/worksheets/sheet5.xml" Id="R1dfe01b8dde84d19" /><Relationship Type="http://schemas.openxmlformats.org/officeDocument/2006/relationships/worksheet" Target="/xl/worksheets/sheet6.xml" Id="Raf893bb794004a7e" /><Relationship Type="http://schemas.openxmlformats.org/officeDocument/2006/relationships/worksheet" Target="/xl/worksheets/sheet7.xml" Id="R1b6ae5c2c88c4213" /><Relationship Type="http://schemas.openxmlformats.org/officeDocument/2006/relationships/worksheet" Target="/xl/worksheets/sheet8.xml" Id="Rf32a687ac64f49da" /><Relationship Type="http://schemas.openxmlformats.org/officeDocument/2006/relationships/worksheet" Target="/xl/worksheets/sheet9.xml" Id="R9af388c81ffb4135" /><Relationship Type="http://schemas.openxmlformats.org/officeDocument/2006/relationships/worksheet" Target="/xl/worksheets/sheet10.xml" Id="R44e1c5fb06114a7a" /><Relationship Type="http://schemas.microsoft.com/office/2017/10/relationships/person" Target="/xl/persons/person.xml" Id="Rea0737a1ee4c468f" /></Relationships>
</file>

<file path=xl/drawings/_rels/drawing1.xml.rels>&#65279;<?xml version="1.0" encoding="utf-8"?><Relationships xmlns="http://schemas.openxmlformats.org/package/2006/relationships"><Relationship Type="http://schemas.openxmlformats.org/officeDocument/2006/relationships/image" Target="/xl/media/image.png" Id="R9bd96e83f6ee4814" /><Relationship Type="http://schemas.openxmlformats.org/officeDocument/2006/relationships/chart" Target="/xl/drawings/charts/chart1.xml" Id="Rd12b8b3f4d584f60" /></Relationships>
</file>

<file path=xl/drawings/_rels/drawing2.xml.rels>&#65279;<?xml version="1.0" encoding="utf-8"?><Relationships xmlns="http://schemas.openxmlformats.org/package/2006/relationships"><Relationship Type="http://schemas.openxmlformats.org/officeDocument/2006/relationships/chart" Target="/xl/drawings/charts/chart2.xml" Id="R23862a9fcfec4b59" /></Relationships>
</file>

<file path=xl/drawings/_rels/drawing3.xml.rels>&#65279;<?xml version="1.0" encoding="utf-8"?><Relationships xmlns="http://schemas.openxmlformats.org/package/2006/relationships"><Relationship Type="http://schemas.openxmlformats.org/officeDocument/2006/relationships/chart" Target="/xl/drawings/charts/chart3.xml" Id="R3da4fc65d1a64515" /><Relationship Type="http://schemas.openxmlformats.org/officeDocument/2006/relationships/chart" Target="/xl/drawings/charts/chart4.xml" Id="R1a1d3d8a74ea4736" /></Relationships>
</file>

<file path=xl/drawings/_rels/drawing4.xml.rels>&#65279;<?xml version="1.0" encoding="utf-8"?><Relationships xmlns="http://schemas.openxmlformats.org/package/2006/relationships"><Relationship Type="http://schemas.openxmlformats.org/officeDocument/2006/relationships/chart" Target="/xl/drawings/charts/chart5.xml" Id="R7c639724a6e64349" /></Relationships>
</file>

<file path=xl/drawings/_rels/drawing5.xml.rels>&#65279;<?xml version="1.0" encoding="utf-8"?><Relationships xmlns="http://schemas.openxmlformats.org/package/2006/relationships"><Relationship Type="http://schemas.openxmlformats.org/officeDocument/2006/relationships/chart" Target="/xl/drawings/charts/chart6.xml" Id="Rcba9167d9b2d4832" /><Relationship Type="http://schemas.openxmlformats.org/officeDocument/2006/relationships/chart" Target="/xl/drawings/charts/chart7.xml" Id="R3cb24079a6fb450c" /></Relationships>
</file>

<file path=xl/drawings/_rels/drawing6.xml.rels>&#65279;<?xml version="1.0" encoding="utf-8"?><Relationships xmlns="http://schemas.openxmlformats.org/package/2006/relationships"><Relationship Type="http://schemas.openxmlformats.org/officeDocument/2006/relationships/chart" Target="/xl/drawings/charts/chart8.xml" Id="Red4f2f7d4d6943f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scenario ($, ex GST)</a:t>
            </a:r>
          </a:p>
        </c:rich>
      </c:tx>
      <c:overlay val="0"/>
    </c:title>
    <c:plotArea>
      <c:barChart>
        <c:barDir val="col"/>
        <c:varyColors val="0"/>
        <c:ser>
          <c:idx val="0"/>
          <c:order val="0"/>
          <c:tx>
            <c:v>Year 1</c:v>
          </c:tx>
          <c:spPr>
            <a:solidFill xmlns:a="http://schemas.openxmlformats.org/drawingml/2006/main">
              <a:srgbClr val="2E74B5"/>
            </a:solidFill>
          </c:spPr>
          <c:cat>
            <c:strRef>
              <c:f>'Summary'!$A$13:$A$15</c:f>
              <c:strCache>
                <c:ptCount val="0"/>
              </c:strCache>
            </c:strRef>
          </c:cat>
          <c:val>
            <c:numRef>
              <c:f>'Summary'!$B$13:$B$15</c:f>
              <c:numCache>
                <c:formatCode>$#,##0;[Red]($#,##0);-</c:formatCode>
                <c:ptCount val="0"/>
              </c:numCache>
            </c:numRef>
          </c:val>
        </c:ser>
        <c:ser>
          <c:idx val="1"/>
          <c:order val="1"/>
          <c:tx>
            <c:v>Year 2</c:v>
          </c:tx>
          <c:spPr>
            <a:solidFill xmlns:a="http://schemas.openxmlformats.org/drawingml/2006/main">
              <a:srgbClr val="ED7D31"/>
            </a:solidFill>
          </c:spPr>
          <c:cat>
            <c:strRef>
              <c:f>'Summary'!$A$13:$A$15</c:f>
              <c:strCache>
                <c:ptCount val="0"/>
              </c:strCache>
            </c:strRef>
          </c:cat>
          <c:val>
            <c:numRef>
              <c:f>'Summary'!$C$13:$C$15</c:f>
              <c:numCache>
                <c:formatCode>$#,##0;[Red]($#,##0);-</c:formatCode>
                <c:ptCount val="0"/>
              </c:numCache>
            </c:numRef>
          </c:val>
        </c:ser>
        <c:ser>
          <c:idx val="2"/>
          <c:order val="2"/>
          <c:tx>
            <c:v>Year 3</c:v>
          </c:tx>
          <c:spPr>
            <a:solidFill xmlns:a="http://schemas.openxmlformats.org/drawingml/2006/main">
              <a:srgbClr val="7F8C3A"/>
            </a:solidFill>
          </c:spPr>
          <c:cat>
            <c:strRef>
              <c:f>'Summary'!$A$13:$A$15</c:f>
              <c:strCache>
                <c:ptCount val="0"/>
              </c:strCache>
            </c:strRef>
          </c:cat>
          <c:val>
            <c:numRef>
              <c:f>'Summary'!$D$13:$D$15</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Gross margin by offer and rate case (%)</a:t>
            </a:r>
          </a:p>
        </c:rich>
      </c:tx>
      <c:overlay val="0"/>
    </c:title>
    <c:plotArea>
      <c:barChart>
        <c:barDir val="col"/>
        <c:varyColors val="0"/>
        <c:ser>
          <c:idx val="0"/>
          <c:order val="0"/>
          <c:tx>
            <c:v>Low rates</c:v>
          </c:tx>
          <c:spPr>
            <a:solidFill xmlns:a="http://schemas.openxmlformats.org/drawingml/2006/main">
              <a:srgbClr val="2E74B5"/>
            </a:solidFill>
          </c:spPr>
          <c:cat>
            <c:strRef>
              <c:f>'Unit Economics'!$A$16:$A$21</c:f>
              <c:strCache>
                <c:ptCount val="0"/>
              </c:strCache>
            </c:strRef>
          </c:cat>
          <c:val>
            <c:numRef>
              <c:f>'Unit Economics'!$B$16:$B$21</c:f>
              <c:numCache>
                <c:formatCode>0.0%;[Red](0.0%);-</c:formatCode>
                <c:ptCount val="0"/>
              </c:numCache>
            </c:numRef>
          </c:val>
        </c:ser>
        <c:ser>
          <c:idx val="1"/>
          <c:order val="1"/>
          <c:tx>
            <c:v>Base rates</c:v>
          </c:tx>
          <c:spPr>
            <a:solidFill xmlns:a="http://schemas.openxmlformats.org/drawingml/2006/main">
              <a:srgbClr val="ED7D31"/>
            </a:solidFill>
          </c:spPr>
          <c:cat>
            <c:strRef>
              <c:f>'Unit Economics'!$A$16:$A$21</c:f>
              <c:strCache>
                <c:ptCount val="0"/>
              </c:strCache>
            </c:strRef>
          </c:cat>
          <c:val>
            <c:numRef>
              <c:f>'Unit Economics'!$C$16:$C$21</c:f>
              <c:numCache>
                <c:formatCode>0.0%;[Red](0.0%);-</c:formatCode>
                <c:ptCount val="0"/>
              </c:numCache>
            </c:numRef>
          </c:val>
        </c:ser>
        <c:ser>
          <c:idx val="2"/>
          <c:order val="2"/>
          <c:tx>
            <c:v>High rates</c:v>
          </c:tx>
          <c:spPr>
            <a:solidFill xmlns:a="http://schemas.openxmlformats.org/drawingml/2006/main">
              <a:srgbClr val="7F8C3A"/>
            </a:solidFill>
          </c:spPr>
          <c:cat>
            <c:strRef>
              <c:f>'Unit Economics'!$A$16:$A$21</c:f>
              <c:strCache>
                <c:ptCount val="0"/>
              </c:strCache>
            </c:strRef>
          </c:cat>
          <c:val>
            <c:numRef>
              <c:f>'Unit Economics'!$D$16:$D$21</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scenario ($, ex GST)</a:t>
            </a:r>
          </a:p>
        </c:rich>
      </c:tx>
      <c:overlay val="0"/>
    </c:title>
    <c:plotArea>
      <c:barChart>
        <c:barDir val="col"/>
        <c:varyColors val="0"/>
        <c:ser>
          <c:idx val="0"/>
          <c:order val="0"/>
          <c:tx>
            <c:v>Year 1</c:v>
          </c:tx>
          <c:spPr>
            <a:solidFill xmlns:a="http://schemas.openxmlformats.org/drawingml/2006/main">
              <a:srgbClr val="2E74B5"/>
            </a:solidFill>
          </c:spPr>
          <c:cat>
            <c:strRef>
              <c:f>'Scenario Forecast'!$F$8:$F$10</c:f>
              <c:strCache>
                <c:ptCount val="0"/>
              </c:strCache>
            </c:strRef>
          </c:cat>
          <c:val>
            <c:numRef>
              <c:f>'Scenario Forecast'!$G$8:$G$10</c:f>
              <c:numCache>
                <c:formatCode>$#,##0;[Red]($#,##0);-</c:formatCode>
                <c:ptCount val="0"/>
              </c:numCache>
            </c:numRef>
          </c:val>
        </c:ser>
        <c:ser>
          <c:idx val="1"/>
          <c:order val="1"/>
          <c:tx>
            <c:v>Year 2</c:v>
          </c:tx>
          <c:spPr>
            <a:solidFill xmlns:a="http://schemas.openxmlformats.org/drawingml/2006/main">
              <a:srgbClr val="ED7D31"/>
            </a:solidFill>
          </c:spPr>
          <c:cat>
            <c:strRef>
              <c:f>'Scenario Forecast'!$F$8:$F$10</c:f>
              <c:strCache>
                <c:ptCount val="0"/>
              </c:strCache>
            </c:strRef>
          </c:cat>
          <c:val>
            <c:numRef>
              <c:f>'Scenario Forecast'!$H$8:$H$10</c:f>
              <c:numCache>
                <c:formatCode>$#,##0;[Red]($#,##0);-</c:formatCode>
                <c:ptCount val="0"/>
              </c:numCache>
            </c:numRef>
          </c:val>
        </c:ser>
        <c:ser>
          <c:idx val="2"/>
          <c:order val="2"/>
          <c:tx>
            <c:v>Year 3</c:v>
          </c:tx>
          <c:spPr>
            <a:solidFill xmlns:a="http://schemas.openxmlformats.org/drawingml/2006/main">
              <a:srgbClr val="7F8C3A"/>
            </a:solidFill>
          </c:spPr>
          <c:cat>
            <c:strRef>
              <c:f>'Scenario Forecast'!$F$8:$F$10</c:f>
              <c:strCache>
                <c:ptCount val="0"/>
              </c:strCache>
            </c:strRef>
          </c:cat>
          <c:val>
            <c:numRef>
              <c:f>'Scenario Forecast'!$I$8:$I$10</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Operating contribution by scenario ($)</a:t>
            </a:r>
          </a:p>
        </c:rich>
      </c:tx>
      <c:overlay val="0"/>
    </c:title>
    <c:plotArea>
      <c:barChart>
        <c:barDir val="col"/>
        <c:varyColors val="0"/>
        <c:ser>
          <c:idx val="0"/>
          <c:order val="0"/>
          <c:tx>
            <c:v>Year 1</c:v>
          </c:tx>
          <c:spPr>
            <a:solidFill xmlns:a="http://schemas.openxmlformats.org/drawingml/2006/main">
              <a:srgbClr val="2E74B5"/>
            </a:solidFill>
          </c:spPr>
          <c:cat>
            <c:strRef>
              <c:f>'Scenario Forecast'!$F$34:$F$36</c:f>
              <c:strCache>
                <c:ptCount val="0"/>
              </c:strCache>
            </c:strRef>
          </c:cat>
          <c:val>
            <c:numRef>
              <c:f>'Scenario Forecast'!$G$34:$G$36</c:f>
              <c:numCache>
                <c:formatCode>$#,##0;[Red]($#,##0);-</c:formatCode>
                <c:ptCount val="0"/>
              </c:numCache>
            </c:numRef>
          </c:val>
        </c:ser>
        <c:ser>
          <c:idx val="1"/>
          <c:order val="1"/>
          <c:tx>
            <c:v>Year 2</c:v>
          </c:tx>
          <c:spPr>
            <a:solidFill xmlns:a="http://schemas.openxmlformats.org/drawingml/2006/main">
              <a:srgbClr val="ED7D31"/>
            </a:solidFill>
          </c:spPr>
          <c:cat>
            <c:strRef>
              <c:f>'Scenario Forecast'!$F$34:$F$36</c:f>
              <c:strCache>
                <c:ptCount val="0"/>
              </c:strCache>
            </c:strRef>
          </c:cat>
          <c:val>
            <c:numRef>
              <c:f>'Scenario Forecast'!$H$34:$H$36</c:f>
              <c:numCache>
                <c:formatCode>$#,##0;[Red]($#,##0);-</c:formatCode>
                <c:ptCount val="0"/>
              </c:numCache>
            </c:numRef>
          </c:val>
        </c:ser>
        <c:ser>
          <c:idx val="2"/>
          <c:order val="2"/>
          <c:tx>
            <c:v>Year 3</c:v>
          </c:tx>
          <c:spPr>
            <a:solidFill xmlns:a="http://schemas.openxmlformats.org/drawingml/2006/main">
              <a:srgbClr val="7F8C3A"/>
            </a:solidFill>
          </c:spPr>
          <c:cat>
            <c:strRef>
              <c:f>'Scenario Forecast'!$F$34:$F$36</c:f>
              <c:strCache>
                <c:ptCount val="0"/>
              </c:strCache>
            </c:strRef>
          </c:cat>
          <c:val>
            <c:numRef>
              <c:f>'Scenario Forecast'!$I$34:$I$36</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Base quarterly revenue and operating contribution ($)</a:t>
            </a:r>
          </a:p>
        </c:rich>
      </c:tx>
      <c:overlay val="0"/>
    </c:title>
    <c:plotArea>
      <c:lineChart>
        <c:grouping val="standard"/>
        <c:varyColors val="0"/>
        <c:ser>
          <c:idx val="0"/>
          <c:order val="0"/>
          <c:tx>
            <c:v>Revenue</c:v>
          </c:tx>
          <c:spPr>
            <a:solidFill xmlns:a="http://schemas.openxmlformats.org/drawingml/2006/main">
              <a:srgbClr val="2E74B5"/>
            </a:solidFill>
          </c:spPr>
          <c:marker>
            <c:symbol val="none"/>
          </c:marker>
          <c:cat>
            <c:strRef>
              <c:f>'Base Quarterly'!$A$22:$A$33</c:f>
              <c:strCache>
                <c:ptCount val="0"/>
              </c:strCache>
            </c:strRef>
          </c:cat>
          <c:val>
            <c:numRef>
              <c:f>'Base Quarterly'!$B$22:$B$33</c:f>
              <c:numCache>
                <c:formatCode>$#,##0;[Red]($#,##0);-</c:formatCode>
                <c:ptCount val="0"/>
              </c:numCache>
            </c:numRef>
          </c:val>
          <c:smooth val="0"/>
        </c:ser>
        <c:ser>
          <c:idx val="1"/>
          <c:order val="1"/>
          <c:tx>
            <c:v>Operating contribution</c:v>
          </c:tx>
          <c:spPr>
            <a:solidFill xmlns:a="http://schemas.openxmlformats.org/drawingml/2006/main">
              <a:srgbClr val="ED7D31"/>
            </a:solidFill>
          </c:spPr>
          <c:marker>
            <c:symbol val="none"/>
          </c:marker>
          <c:cat>
            <c:strRef>
              <c:f>'Base Quarterly'!$A$22:$A$33</c:f>
              <c:strCache>
                <c:ptCount val="0"/>
              </c:strCache>
            </c:strRef>
          </c:cat>
          <c:val>
            <c:numRef>
              <c:f>'Base Quarterly'!$C$22:$C$33</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Largest Year 1 operating costs ($)</a:t>
            </a:r>
          </a:p>
        </c:rich>
      </c:tx>
      <c:overlay val="0"/>
    </c:title>
    <c:plotArea>
      <c:barChart>
        <c:barDir val="col"/>
        <c:varyColors val="0"/>
        <c:ser>
          <c:idx val="0"/>
          <c:order val="0"/>
          <c:tx>
            <c:v>Amount</c:v>
          </c:tx>
          <c:spPr>
            <a:solidFill xmlns:a="http://schemas.openxmlformats.org/drawingml/2006/main">
              <a:srgbClr val="2E74B5"/>
            </a:solidFill>
          </c:spPr>
          <c:cat>
            <c:strRef>
              <c:f>'Operating Budget'!$H$6:$H$11</c:f>
              <c:strCache>
                <c:ptCount val="0"/>
              </c:strCache>
            </c:strRef>
          </c:cat>
          <c:val>
            <c:numRef>
              <c:f>'Operating Budget'!$I$6:$I$11</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Base operating expense by year ($)</a:t>
            </a:r>
          </a:p>
        </c:rich>
      </c:tx>
      <c:overlay val="0"/>
    </c:title>
    <c:plotArea>
      <c:lineChart>
        <c:grouping val="standard"/>
        <c:varyColors val="0"/>
        <c:ser>
          <c:idx val="0"/>
          <c:order val="0"/>
          <c:tx>
            <c:v>Operating expense</c:v>
          </c:tx>
          <c:spPr>
            <a:solidFill xmlns:a="http://schemas.openxmlformats.org/drawingml/2006/main">
              <a:srgbClr val="7F8C3A"/>
            </a:solidFill>
          </c:spPr>
          <c:marker>
            <c:symbol val="none"/>
          </c:marker>
          <c:cat>
            <c:strRef>
              <c:f>'Operating Budget'!$H$47:$H$49</c:f>
              <c:strCache>
                <c:ptCount val="0"/>
              </c:strCache>
            </c:strRef>
          </c:cat>
          <c:val>
            <c:numRef>
              <c:f>'Operating Budget'!$I$47:$I$49</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Delivery capacity required (FTE equivalent)</a:t>
            </a:r>
          </a:p>
        </c:rich>
      </c:tx>
      <c:overlay val="0"/>
    </c:title>
    <c:plotArea>
      <c:lineChart>
        <c:grouping val="standard"/>
        <c:varyColors val="0"/>
        <c:ser>
          <c:idx val="0"/>
          <c:order val="0"/>
          <c:tx>
            <c:v>Year 1</c:v>
          </c:tx>
          <c:spPr>
            <a:solidFill xmlns:a="http://schemas.openxmlformats.org/drawingml/2006/main">
              <a:srgbClr val="2E74B5"/>
            </a:solidFill>
          </c:spPr>
          <c:marker>
            <c:symbol val="none"/>
          </c:marker>
          <c:cat>
            <c:strRef>
              <c:f>'Capacity'!$A$19:$A$21</c:f>
              <c:strCache>
                <c:ptCount val="0"/>
              </c:strCache>
            </c:strRef>
          </c:cat>
          <c:val>
            <c:numRef>
              <c:f>'Capacity'!$B$19:$B$21</c:f>
              <c:numCache>
                <c:formatCode>#,##0.0;[Red](#,##0.0);-</c:formatCode>
                <c:ptCount val="0"/>
              </c:numCache>
            </c:numRef>
          </c:val>
          <c:smooth val="0"/>
        </c:ser>
        <c:ser>
          <c:idx val="1"/>
          <c:order val="1"/>
          <c:tx>
            <c:v>Year 2</c:v>
          </c:tx>
          <c:spPr>
            <a:solidFill xmlns:a="http://schemas.openxmlformats.org/drawingml/2006/main">
              <a:srgbClr val="ED7D31"/>
            </a:solidFill>
          </c:spPr>
          <c:marker>
            <c:symbol val="none"/>
          </c:marker>
          <c:cat>
            <c:strRef>
              <c:f>'Capacity'!$A$19:$A$21</c:f>
              <c:strCache>
                <c:ptCount val="0"/>
              </c:strCache>
            </c:strRef>
          </c:cat>
          <c:val>
            <c:numRef>
              <c:f>'Capacity'!$C$19:$C$21</c:f>
              <c:numCache>
                <c:formatCode>#,##0.0;[Red](#,##0.0);-</c:formatCode>
                <c:ptCount val="0"/>
              </c:numCache>
            </c:numRef>
          </c:val>
          <c:smooth val="0"/>
        </c:ser>
        <c:ser>
          <c:idx val="2"/>
          <c:order val="2"/>
          <c:tx>
            <c:v>Year 3</c:v>
          </c:tx>
          <c:spPr>
            <a:solidFill xmlns:a="http://schemas.openxmlformats.org/drawingml/2006/main">
              <a:srgbClr val="7F8C3A"/>
            </a:solidFill>
          </c:spPr>
          <c:marker>
            <c:symbol val="none"/>
          </c:marker>
          <c:cat>
            <c:strRef>
              <c:f>'Capacity'!$A$19:$A$21</c:f>
              <c:strCache>
                <c:ptCount val="0"/>
              </c:strCache>
            </c:strRef>
          </c:cat>
          <c:val>
            <c:numRef>
              <c:f>'Capacity'!$D$19:$D$21</c:f>
              <c:numCache>
                <c:formatCode>#,##0.0;[Red](#,##0.0);-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10</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2b8b3f4d584f60"/>
        </a:graphicData>
      </a:graphic>
    </xdr:graphicFrame>
    <xdr:clientData/>
  </xdr:twoCellAnchor>
  <xdr:oneCellAnchor>
    <xdr:from>
      <xdr:col>0</xdr:col>
      <xdr:colOff>76200</xdr:colOff>
      <xdr:row>0</xdr:row>
      <xdr:rowOff>76200</xdr:rowOff>
    </xdr:from>
    <xdr:ext cx="1524000" cy="414655"/>
    <xdr:pic>
      <xdr:nvPicPr>
        <xdr:cNvPr id="2" name="acc5d358-e314-4bc7-a7d1-14a34430deb9"/>
        <xdr:cNvPicPr>
          <a:picLocks xmlns:a="http://schemas.openxmlformats.org/drawingml/2006/main" noChangeAspect="1"/>
        </xdr:cNvPicPr>
      </xdr:nvPicPr>
      <xdr:blipFill>
        <a:blip xmlns:r="http://schemas.openxmlformats.org/officeDocument/2006/relationships" xmlns:a="http://schemas.openxmlformats.org/drawingml/2006/main" r:embed="R9bd96e83f6ee4814"/>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xdr:from>
      <xdr:col>5</xdr:col>
      <xdr:colOff>0</xdr:colOff>
      <xdr:row>13</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3862a9fcfec4b59"/>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11</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a4fc65d1a64515"/>
        </a:graphicData>
      </a:graphic>
    </xdr:graphicFrame>
    <xdr:clientData/>
  </xdr:twoCellAnchor>
  <xdr:twoCellAnchor>
    <xdr:from>
      <xdr:col>5</xdr:col>
      <xdr:colOff>0</xdr:colOff>
      <xdr:row>37</xdr:row>
      <xdr:rowOff>0</xdr:rowOff>
    </xdr:from>
    <xdr:to>
      <xdr:col>12</xdr:col>
      <xdr:colOff>0</xdr:colOff>
      <xdr:row>55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1d3d8a74ea4736"/>
        </a:graphicData>
      </a:graphic>
    </xdr:graphicFrame>
    <xdr:clientData/>
  </xdr:twoCellAnchor>
</xdr:wsDr>
</file>

<file path=xl/drawings/drawing4.xml><?xml version="1.0" encoding="utf-8"?>
<xdr:wsDr xmlns:xdr="http://schemas.openxmlformats.org/drawingml/2006/spreadsheetDrawing">
  <xdr:twoCellAnchor>
    <xdr:from>
      <xdr:col>4</xdr:col>
      <xdr:colOff>0</xdr:colOff>
      <xdr:row>20</xdr:row>
      <xdr:rowOff>0</xdr:rowOff>
    </xdr:from>
    <xdr:to>
      <xdr:col>14</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639724a6e64349"/>
        </a:graphicData>
      </a:graphic>
    </xdr:graphicFrame>
    <xdr:clientData/>
  </xdr:twoCellAnchor>
</xdr:wsDr>
</file>

<file path=xl/drawings/drawing5.xml><?xml version="1.0" encoding="utf-8"?>
<xdr:wsDr xmlns:xdr="http://schemas.openxmlformats.org/drawingml/2006/spreadsheetDrawing">
  <xdr:twoCellAnchor>
    <xdr:from>
      <xdr:col>7</xdr:col>
      <xdr:colOff>0</xdr:colOff>
      <xdr:row>5</xdr:row>
      <xdr:rowOff>0</xdr:rowOff>
    </xdr:from>
    <xdr:to>
      <xdr:col>14</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a9167d9b2d4832"/>
        </a:graphicData>
      </a:graphic>
    </xdr:graphicFrame>
    <xdr:clientData/>
  </xdr:twoCellAnchor>
  <xdr:twoCellAnchor>
    <xdr:from>
      <xdr:col>7</xdr:col>
      <xdr:colOff>0</xdr:colOff>
      <xdr:row>50</xdr:row>
      <xdr:rowOff>0</xdr:rowOff>
    </xdr:from>
    <xdr:to>
      <xdr:col>14</xdr:col>
      <xdr:colOff>0</xdr:colOff>
      <xdr:row>65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b24079a6fb450c"/>
        </a:graphicData>
      </a:graphic>
    </xdr:graphicFrame>
    <xdr:clientData/>
  </xdr:twoCellAnchor>
</xdr:wsDr>
</file>

<file path=xl/drawings/drawing6.xml><?xml version="1.0" encoding="utf-8"?>
<xdr:wsDr xmlns:xdr="http://schemas.openxmlformats.org/drawingml/2006/spreadsheetDrawing">
  <xdr:twoCellAnchor>
    <xdr:from>
      <xdr:col>5</xdr:col>
      <xdr:colOff>0</xdr:colOff>
      <xdr:row>17</xdr:row>
      <xdr:rowOff>0</xdr:rowOff>
    </xdr:from>
    <xdr:to>
      <xdr:col>12</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d4f2f7d4d6943fe"/>
        </a:graphicData>
      </a:graphic>
    </xdr:graphicFrame>
    <xdr:clientData/>
  </xdr:twoCellAnchor>
</xdr:wsDr>
</file>

<file path=xl/persons/person.xml><?xml version="1.0" encoding="utf-8"?>
<xltc:personList xmlns:xltc="http://schemas.microsoft.com/office/spreadsheetml/2018/threadedcomments">
  <xltc:person displayName="User" id="{A54A1151-34CF-4F85-845E-A59327D623D9}"/>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7" dT="2026-09-03T02:44:38.225" personId="{A54A1151-34CF-4F85-845E-A59327D623D9}" id="{8685A0CF-849E-4A50-8673-3F29812CC5E3}">
    <xltc:text>Source: owner brief dated 2026-09-03. Range supplied: AUD $80–$100 per consultant hour.</xltc:text>
  </xltc:threadedComment>
  <xltc:threadedComment ref="B8" dT="2026-09-03T02:44:38.226" personId="{A54A1151-34CF-4F85-845E-A59327D623D9}" id="{2039E07F-DCA3-4B7B-A55F-D5D16A17DD22}">
    <xltc:text>Source: owner brief dated 2026-09-03. Range supplied: AUD $30–$35 per offshore developer hour.</xltc:text>
  </xltc:threadedComment>
  <xltc:threadedComment ref="B14" dT="2026-09-03T02:44:38.226" personId="{A54A1151-34CF-4F85-845E-A59327D623D9}" id="{0A3329DE-F37B-40CE-A5BD-AFB4E66207A9}">
    <xltc:text>Assumption: 25% uplift is a planning allowance for FX/payment friction, security/tooling, onboarding and offshore delivery risk. Replace with vendor invoices and actual variance.</xltc:text>
  </xltc:threadedComment>
  <xltc:threadedComment ref="I7" dT="2026-09-03T02:44:38.226" personId="{A54A1151-34CF-4F85-845E-A59327D623D9}" id="{1CD8DB53-B32D-49E1-AA52-D35C56F5E994}">
    <xltc:text>Source: Australian Taxation Office — GST on taxable sales is 10%. https://www.ato.gov.au/businesses-and-organisations/gst-excise-and-indirect-taxes/gst</xltc:text>
  </xltc:threadedComment>
  <xltc:threadedComment ref="I8" dT="2026-09-03T02:44:38.226" personId="{A54A1151-34CF-4F85-845E-A59327D623D9}" id="{5183C0E5-8E84-4091-913F-DDC36FAE4AF8}">
    <xltc:text>Source: Australian Taxation Office — GST registration threshold is $75,000 turnover for businesses. https://www.ato.gov.au/businesses-and-organisations/gst-excise-and-indirect-taxes/gst/registering-for-gst</xltc:text>
  </xltc:threadedComment>
  <xltc:threadedComment ref="I9" dT="2026-09-03T02:44:38.226" personId="{A54A1151-34CF-4F85-845E-A59327D623D9}" id="{EE9A6656-B51E-413B-BF32-75AC72AF2B74}">
    <xltc:text>Source: Australian Taxation Office. Base rate entities may use 25%; other companies may use 30%. Eligibility and entity structure require accountant confirmation.</xltc:text>
  </xltc:threadedComment>
  <xltc:threadedComment ref="I11" dT="2026-09-03T02:44:38.226" personId="{A54A1151-34CF-4F85-845E-A59327D623D9}" id="{D325A9C6-C63E-479A-ABAB-777EED57B13D}">
    <xltc:text>Source: Australian Taxation Office — super guarantee is 12% from 1 July 2025 onward. https://www.ato.gov.au/tax-rates-and-codes/key-superannuation-rates-and-thresholds/super-guarantee</xltc:text>
  </xltc:threadedComment>
  <xltc:threadedComment ref="B39" dT="2026-09-03T02:44:38.226" personId="{A54A1151-34CF-4F85-845E-A59327D623D9}" id="{4CFE5CBB-6AEF-4F9B-A03D-E0F866AA1326}">
    <xltc:text>Assumption only. Insurance scope and premiums are not verified; obtain broker quotes for professional indemnity, cyber and public liability before onboarding.</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5ff7a514121a4bd6" /></Relationships>
</file>

<file path=xl/worksheets/_rels/sheet2.xml.rels>&#65279;<?xml version="1.0" encoding="utf-8"?><Relationships xmlns="http://schemas.openxmlformats.org/package/2006/relationships"><Relationship Type="http://schemas.openxmlformats.org/officeDocument/2006/relationships/comments" Target="/xl/comments1.xml" Id="R5bcc3cff6452462b" /><Relationship Type="http://schemas.openxmlformats.org/officeDocument/2006/relationships/vmlDrawing" Target="/xl/drawings/vmldrawing.vml" Id="R24ee153ec5d74aa4" /><Relationship Type="http://schemas.microsoft.com/office/2017/10/relationships/threadedComment" Target="/xl/threadedcomments/threadedcomment.xml" Id="R08ebba7bf1fc4c2b" /></Relationships>
</file>

<file path=xl/worksheets/_rels/sheet3.xml.rels>&#65279;<?xml version="1.0" encoding="utf-8"?><Relationships xmlns="http://schemas.openxmlformats.org/package/2006/relationships"><Relationship Type="http://schemas.openxmlformats.org/officeDocument/2006/relationships/drawing" Target="/xl/drawings/drawing2.xml" Id="R5ac61888fd4f4026" /></Relationships>
</file>

<file path=xl/worksheets/_rels/sheet4.xml.rels>&#65279;<?xml version="1.0" encoding="utf-8"?><Relationships xmlns="http://schemas.openxmlformats.org/package/2006/relationships"><Relationship Type="http://schemas.openxmlformats.org/officeDocument/2006/relationships/drawing" Target="/xl/drawings/drawing3.xml" Id="R6ada9b5e1e4e48e7" /></Relationships>
</file>

<file path=xl/worksheets/_rels/sheet5.xml.rels>&#65279;<?xml version="1.0" encoding="utf-8"?><Relationships xmlns="http://schemas.openxmlformats.org/package/2006/relationships"><Relationship Type="http://schemas.openxmlformats.org/officeDocument/2006/relationships/drawing" Target="/xl/drawings/drawing4.xml" Id="R41d8b50227874414" /></Relationships>
</file>

<file path=xl/worksheets/_rels/sheet6.xml.rels>&#65279;<?xml version="1.0" encoding="utf-8"?><Relationships xmlns="http://schemas.openxmlformats.org/package/2006/relationships"><Relationship Type="http://schemas.openxmlformats.org/officeDocument/2006/relationships/drawing" Target="/xl/drawings/drawing5.xml" Id="R88a348821ade40a3" /></Relationships>
</file>

<file path=xl/worksheets/_rels/sheet8.xml.rels>&#65279;<?xml version="1.0" encoding="utf-8"?><Relationships xmlns="http://schemas.openxmlformats.org/package/2006/relationships"><Relationship Type="http://schemas.openxmlformats.org/officeDocument/2006/relationships/drawing" Target="/xl/drawings/drawing6.xml" Id="Ref2f6902e9e1468d"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3" hidden="0" customWidth="1"/>
    <x:col min="8" max="8" width="15" hidden="0" customWidth="1"/>
    <x:col min="9" max="9" width="15" hidden="0" customWidth="1"/>
    <x:col min="10" max="10" width="15" hidden="0" customWidth="1"/>
    <x:col min="11" max="11" width="15" hidden="0" customWidth="1"/>
    <x:col min="12" max="12" width="15" hidden="0" customWidth="1"/>
  </x:cols>
  <x:sheetData>
    <x:row r="1" ht="85" customHeight="1">
      <x:c r="A1" s="352" t="str">
        <x:v>Heutrix — Integrated Forecast, Budget and Margin Plan</x:v>
      </x:c>
      <x:c r="B1" s="4" t="str">
        <x:v>Heutrix — Integrated Forecast, Budget and Margin Plan</x:v>
      </x:c>
      <x:c r="C1" s="4" t="str">
        <x:v>Heutrix — Integrated Forecast, Budget and Margin Plan</x:v>
      </x:c>
      <x:c r="D1" s="4" t="str">
        <x:v>Heutrix — Integrated Forecast, Budget and Margin Plan</x:v>
      </x:c>
      <x:c r="E1" s="4" t="str">
        <x:v>Heutrix — Integrated Forecast, Budget and Margin Plan</x:v>
      </x:c>
      <x:c r="F1" s="4" t="str">
        <x:v>Heutrix — Integrated Forecast, Budget and Margin Plan</x:v>
      </x:c>
      <x:c r="G1" s="4" t="str">
        <x:v>Heutrix — Integrated Forecast, Budget and Margin Plan</x:v>
      </x:c>
      <x:c r="H1" s="4" t="str">
        <x:v>Heutrix — Integrated Forecast, Budget and Margin Plan</x:v>
      </x:c>
      <x:c r="I1" s="4" t="str">
        <x:v>Heutrix — Integrated Forecast, Budget and Margin Plan</x:v>
      </x:c>
      <x:c r="J1" s="4" t="str">
        <x:v>Heutrix — Integrated Forecast, Budget and Margin Plan</x:v>
      </x:c>
      <x:c r="K1" s="4" t="str">
        <x:v>Heutrix — Integrated Forecast, Budget and Margin Plan</x:v>
      </x:c>
      <x:c r="L1" s="4" t="str">
        <x:v>Heutrix — Integrated Forecast, Budget and Margin Plan</x:v>
      </x:c>
    </x:row>
    <x:row r="2">
      <x:c r="A2" s="172" t="str">
        <x:v>Decision model | Version 2.0 | 3 September 2026 | AUD, ex GST | First three 12-month periods after commercial readiness | Internal planning only</x:v>
      </x:c>
      <x:c r="B2" s="172"/>
      <x:c r="C2" s="172"/>
      <x:c r="D2" s="172"/>
      <x:c r="E2" s="172"/>
      <x:c r="F2" s="172"/>
      <x:c r="G2" s="172"/>
      <x:c r="H2" s="172"/>
      <x:c r="I2" s="172"/>
      <x:c r="J2" s="172"/>
      <x:c r="K2" s="172"/>
      <x:c r="L2" s="172"/>
    </x:row>
    <x:row r="3">
      <x:c r="A3" s="172"/>
      <x:c r="B3" s="172"/>
      <x:c r="C3" s="172"/>
      <x:c r="D3" s="172"/>
      <x:c r="E3" s="172"/>
      <x:c r="F3" s="172"/>
      <x:c r="G3" s="172"/>
      <x:c r="H3" s="172"/>
      <x:c r="I3" s="172"/>
      <x:c r="J3" s="172"/>
      <x:c r="K3" s="172"/>
      <x:c r="L3" s="172"/>
    </x:row>
    <x:row r="4">
      <x:c r="A4" s="239"/>
      <x:c r="B4" s="239"/>
      <x:c r="C4" s="239"/>
      <x:c r="D4" s="239"/>
      <x:c r="E4" s="239"/>
      <x:c r="F4" s="239"/>
      <x:c r="G4" s="239"/>
      <x:c r="H4" s="239"/>
      <x:c r="I4" s="239"/>
      <x:c r="J4" s="239"/>
      <x:c r="K4" s="239"/>
      <x:c r="L4" s="239"/>
    </x:row>
    <x:row r="5" ht="23" customHeight="1">
      <x:c r="A5" s="329" t="str">
        <x:v>Base Year 1 executive view</x:v>
      </x:c>
      <x:c r="B5" s="11" t="str">
        <x:v>Base Year 1 executive view</x:v>
      </x:c>
      <x:c r="C5" s="11" t="str">
        <x:v>Base Year 1 executive view</x:v>
      </x:c>
      <x:c r="D5" s="11" t="str">
        <x:v>Base Year 1 executive view</x:v>
      </x:c>
      <x:c r="E5" s="11" t="str">
        <x:v>Base Year 1 executive view</x:v>
      </x:c>
      <x:c r="F5" s="11" t="str">
        <x:v>Base Year 1 executive view</x:v>
      </x:c>
      <x:c r="G5" s="11" t="str">
        <x:v>Base Year 1 executive view</x:v>
      </x:c>
      <x:c r="H5" s="11" t="str">
        <x:v>Base Year 1 executive view</x:v>
      </x:c>
      <x:c r="I5" s="11" t="str">
        <x:v>Base Year 1 executive view</x:v>
      </x:c>
      <x:c r="J5" s="11" t="str">
        <x:v>Base Year 1 executive view</x:v>
      </x:c>
      <x:c r="K5" s="11" t="str">
        <x:v>Base Year 1 executive view</x:v>
      </x:c>
      <x:c r="L5" s="11" t="str">
        <x:v>Base Year 1 executive view</x:v>
      </x:c>
    </x:row>
    <x:row r="6">
      <x:c r="A6" s="331" t="str">
        <x:v>Base revenue</x:v>
      </x:c>
      <x:c r="B6" s="240"/>
      <x:c r="C6" s="240"/>
      <x:c r="D6" s="331" t="str">
        <x:v>Gross margin</x:v>
      </x:c>
      <x:c r="E6" s="240"/>
      <x:c r="F6" s="240"/>
      <x:c r="G6" s="331" t="str">
        <x:v>Operating contribution</x:v>
      </x:c>
      <x:c r="H6" s="240"/>
      <x:c r="I6" s="240"/>
      <x:c r="J6" s="331" t="str">
        <x:v>Working-capital reserve</x:v>
      </x:c>
      <x:c r="K6" s="240"/>
      <x:c r="L6" s="240"/>
    </x:row>
    <x:row r="7">
      <x:c r="A7" s="332" t="n">
        <x:f>'Scenario Forecast'!B32</x:f>
        <x:v>294600</x:v>
      </x:c>
      <x:c r="B7" s="204"/>
      <x:c r="C7" s="205"/>
      <x:c r="D7" s="333" t="n">
        <x:f>'Scenario Forecast'!B44</x:f>
        <x:v>0.7297021384928717</x:v>
      </x:c>
      <x:c r="E7" s="231"/>
      <x:c r="F7" s="232"/>
      <x:c r="G7" s="332" t="n">
        <x:f>'Scenario Forecast'!B46</x:f>
        <x:v>91184</x:v>
      </x:c>
      <x:c r="H7" s="204"/>
      <x:c r="I7" s="205"/>
      <x:c r="J7" s="332" t="n">
        <x:f>'Scenario Forecast'!B50</x:f>
        <x:v>37582.375</x:v>
      </x:c>
      <x:c r="K7" s="204"/>
      <x:c r="L7" s="205"/>
    </x:row>
    <x:row r="8">
      <x:c r="A8" s="206"/>
      <x:c r="B8" s="207"/>
      <x:c r="C8" s="208"/>
      <x:c r="D8" s="233"/>
      <x:c r="E8" s="234"/>
      <x:c r="F8" s="235"/>
      <x:c r="G8" s="206"/>
      <x:c r="H8" s="207"/>
      <x:c r="I8" s="208"/>
      <x:c r="J8" s="206"/>
      <x:c r="K8" s="207"/>
      <x:c r="L8" s="208"/>
    </x:row>
    <x:row r="9">
      <x:c r="A9" s="209"/>
      <x:c r="B9" s="210"/>
      <x:c r="C9" s="211"/>
      <x:c r="D9" s="236"/>
      <x:c r="E9" s="237"/>
      <x:c r="F9" s="238"/>
      <x:c r="G9" s="209"/>
      <x:c r="H9" s="210"/>
      <x:c r="I9" s="211"/>
      <x:c r="J9" s="209"/>
      <x:c r="K9" s="210"/>
      <x:c r="L9" s="211"/>
    </x:row>
    <x:row r="10">
      <x:c r="A10" s="239"/>
      <x:c r="B10" s="239"/>
      <x:c r="C10" s="239"/>
      <x:c r="D10" s="239"/>
      <x:c r="E10" s="239"/>
      <x:c r="F10" s="239"/>
      <x:c r="G10" s="239"/>
      <x:c r="H10" s="239"/>
      <x:c r="I10" s="239"/>
      <x:c r="J10" s="239"/>
      <x:c r="K10" s="239"/>
      <x:c r="L10" s="239"/>
    </x:row>
    <x:row r="11" ht="23" customHeight="1">
      <x:c r="A11" s="329" t="str">
        <x:v>Revenue scenarios ($, ex GST)</x:v>
      </x:c>
      <x:c r="B11" s="11" t="str">
        <x:v>Revenue scenarios ($, ex GST)</x:v>
      </x:c>
      <x:c r="C11" s="11" t="str">
        <x:v>Revenue scenarios ($, ex GST)</x:v>
      </x:c>
      <x:c r="D11" s="11" t="str">
        <x:v>Revenue scenarios ($, ex GST)</x:v>
      </x:c>
      <x:c r="E11" s="239"/>
      <x:c r="F11" s="239"/>
      <x:c r="G11" s="239"/>
      <x:c r="H11" s="239"/>
      <x:c r="I11" s="239"/>
      <x:c r="J11" s="239"/>
      <x:c r="K11" s="239"/>
      <x:c r="L11" s="239"/>
    </x:row>
    <x:row r="12">
      <x:c r="A12" s="335" t="str">
        <x:v>Scenario</x:v>
      </x:c>
      <x:c r="B12" s="337" t="str">
        <x:v>Year 1</x:v>
      </x:c>
      <x:c r="C12" s="337" t="str">
        <x:v>Year 2</x:v>
      </x:c>
      <x:c r="D12" s="339" t="str">
        <x:v>Year 3</x:v>
      </x:c>
      <x:c r="E12" s="239"/>
      <x:c r="F12" s="239"/>
      <x:c r="G12" s="239"/>
      <x:c r="H12" s="239"/>
      <x:c r="I12" s="239"/>
      <x:c r="J12" s="239"/>
      <x:c r="K12" s="239"/>
      <x:c r="L12" s="239"/>
    </x:row>
    <x:row r="13">
      <x:c r="A13" s="241" t="str">
        <x:f>"Conservative"</x:f>
        <x:v>Conservative</x:v>
      </x:c>
      <x:c r="B13" s="242" t="n">
        <x:f>'Scenario Forecast'!B8</x:f>
        <x:v>128100</x:v>
      </x:c>
      <x:c r="C13" s="242" t="n">
        <x:f>'Scenario Forecast'!C8</x:f>
        <x:v>285900</x:v>
      </x:c>
      <x:c r="D13" s="242" t="n">
        <x:f>'Scenario Forecast'!D8</x:f>
        <x:v>474000</x:v>
      </x:c>
      <x:c r="E13" s="239"/>
      <x:c r="F13" s="239"/>
      <x:c r="G13" s="239"/>
      <x:c r="H13" s="239"/>
      <x:c r="I13" s="239"/>
      <x:c r="J13" s="239"/>
      <x:c r="K13" s="239"/>
      <x:c r="L13" s="239"/>
    </x:row>
    <x:row r="14">
      <x:c r="A14" s="241" t="str">
        <x:f>"Base"</x:f>
        <x:v>Base</x:v>
      </x:c>
      <x:c r="B14" s="242" t="n">
        <x:f>'Scenario Forecast'!B32</x:f>
        <x:v>294600</x:v>
      </x:c>
      <x:c r="C14" s="242" t="n">
        <x:f>'Scenario Forecast'!C32</x:f>
        <x:v>527200</x:v>
      </x:c>
      <x:c r="D14" s="242" t="n">
        <x:f>'Scenario Forecast'!D32</x:f>
        <x:v>776100</x:v>
      </x:c>
      <x:c r="E14" s="239"/>
      <x:c r="F14" s="239"/>
      <x:c r="G14" s="239"/>
      <x:c r="H14" s="239"/>
      <x:c r="I14" s="239"/>
      <x:c r="J14" s="239"/>
      <x:c r="K14" s="239"/>
      <x:c r="L14" s="239"/>
    </x:row>
    <x:row r="15">
      <x:c r="A15" s="241" t="str">
        <x:f>"Upside"</x:f>
        <x:v>Upside</x:v>
      </x:c>
      <x:c r="B15" s="242" t="n">
        <x:f>'Scenario Forecast'!B56</x:f>
        <x:v>411200</x:v>
      </x:c>
      <x:c r="C15" s="242" t="n">
        <x:f>'Scenario Forecast'!C56</x:f>
        <x:v>807000</x:v>
      </x:c>
      <x:c r="D15" s="242" t="n">
        <x:f>'Scenario Forecast'!D56</x:f>
        <x:v>1235200</x:v>
      </x:c>
      <x:c r="E15" s="239"/>
      <x:c r="F15" s="239"/>
      <x:c r="G15" s="239"/>
      <x:c r="H15" s="239"/>
      <x:c r="I15" s="239"/>
      <x:c r="J15" s="239"/>
      <x:c r="K15" s="239"/>
      <x:c r="L15" s="239"/>
    </x:row>
    <x:row r="16">
      <x:c r="A16" s="239"/>
      <x:c r="B16" s="239"/>
      <x:c r="C16" s="239"/>
      <x:c r="D16" s="239"/>
      <x:c r="E16" s="239"/>
      <x:c r="F16" s="239"/>
      <x:c r="G16" s="239"/>
      <x:c r="H16" s="239"/>
      <x:c r="I16" s="239"/>
      <x:c r="J16" s="239"/>
      <x:c r="K16" s="239"/>
      <x:c r="L16" s="239"/>
    </x:row>
    <x:row r="17">
      <x:c r="A17" s="239"/>
      <x:c r="B17" s="239"/>
      <x:c r="C17" s="239"/>
      <x:c r="D17" s="239"/>
      <x:c r="E17" s="239"/>
      <x:c r="F17" s="239"/>
      <x:c r="G17" s="239"/>
      <x:c r="H17" s="239"/>
      <x:c r="I17" s="239"/>
      <x:c r="J17" s="239"/>
      <x:c r="K17" s="239"/>
      <x:c r="L17" s="239"/>
    </x:row>
    <x:row r="18" ht="23" customHeight="1">
      <x:c r="A18" s="329" t="str">
        <x:v>Recommended internal pricing points</x:v>
      </x:c>
      <x:c r="B18" s="11" t="str">
        <x:v>Recommended internal pricing points</x:v>
      </x:c>
      <x:c r="C18" s="11" t="str">
        <x:v>Recommended internal pricing points</x:v>
      </x:c>
      <x:c r="D18" s="11" t="str">
        <x:v>Recommended internal pricing points</x:v>
      </x:c>
      <x:c r="E18" s="11" t="str">
        <x:v>Recommended internal pricing points</x:v>
      </x:c>
      <x:c r="F18" s="239"/>
      <x:c r="G18" s="239"/>
      <x:c r="H18" s="239"/>
      <x:c r="I18" s="239"/>
      <x:c r="J18" s="239"/>
      <x:c r="K18" s="239"/>
      <x:c r="L18" s="239"/>
    </x:row>
    <x:row r="19">
      <x:c r="A19" s="335" t="str">
        <x:v>Offer</x:v>
      </x:c>
      <x:c r="B19" s="337" t="str">
        <x:v>Price</x:v>
      </x:c>
      <x:c r="C19" s="337" t="str">
        <x:v>High-rate GM</x:v>
      </x:c>
      <x:c r="D19" s="337" t="str">
        <x:v>Target</x:v>
      </x:c>
      <x:c r="E19" s="339" t="str">
        <x:v>Status</x:v>
      </x:c>
      <x:c r="F19" s="239"/>
      <x:c r="G19" s="239"/>
      <x:c r="H19" s="239"/>
      <x:c r="I19" s="239"/>
      <x:c r="J19" s="239"/>
      <x:c r="K19" s="239"/>
      <x:c r="L19" s="239"/>
    </x:row>
    <x:row r="20">
      <x:c r="A20" s="241" t="str">
        <x:f>'Unit Economics'!A6</x:f>
        <x:v>Heutrix Diagnostics</x:v>
      </x:c>
      <x:c r="B20" s="242" t="n">
        <x:f>'Unit Economics'!B6</x:f>
        <x:v>3600</x:v>
      </x:c>
      <x:c r="C20" s="243" t="n">
        <x:f>'Unit Economics'!I6</x:f>
        <x:v>0.653888888888889</x:v>
      </x:c>
      <x:c r="D20" s="243" t="n">
        <x:f>'Assumptions'!G24</x:f>
        <x:v>0.65</x:v>
      </x:c>
      <x:c r="E20" s="241" t="str">
        <x:f>'Unit Economics'!M6</x:f>
        <x:v>Clears target</x:v>
      </x:c>
      <x:c r="F20" s="239"/>
      <x:c r="G20" s="239"/>
      <x:c r="H20" s="239"/>
      <x:c r="I20" s="239"/>
      <x:c r="J20" s="239"/>
      <x:c r="K20" s="239"/>
      <x:c r="L20" s="239"/>
    </x:row>
    <x:row r="21">
      <x:c r="A21" s="241" t="str">
        <x:f>'Unit Economics'!A7</x:f>
        <x:v>Workflow Transformation — Standard</x:v>
      </x:c>
      <x:c r="B21" s="242" t="n">
        <x:f>'Unit Economics'!B7</x:f>
        <x:v>16000</x:v>
      </x:c>
      <x:c r="C21" s="243" t="n">
        <x:f>'Unit Economics'!I7</x:f>
        <x:v>0.705546875</x:v>
      </x:c>
      <x:c r="D21" s="243" t="n">
        <x:f>'Assumptions'!G25</x:f>
        <x:v>0.65</x:v>
      </x:c>
      <x:c r="E21" s="241" t="str">
        <x:f>'Unit Economics'!M7</x:f>
        <x:v>Clears target</x:v>
      </x:c>
      <x:c r="F21" s="239"/>
      <x:c r="G21" s="239"/>
      <x:c r="H21" s="239"/>
      <x:c r="I21" s="239"/>
      <x:c r="J21" s="239"/>
      <x:c r="K21" s="239"/>
      <x:c r="L21" s="239"/>
    </x:row>
    <x:row r="22">
      <x:c r="A22" s="241" t="str">
        <x:f>'Unit Economics'!A8</x:f>
        <x:v>Workflow Transformation — Visibility</x:v>
      </x:c>
      <x:c r="B22" s="242" t="n">
        <x:f>'Unit Economics'!B8</x:f>
        <x:v>19500</x:v>
      </x:c>
      <x:c r="C22" s="243" t="n">
        <x:f>'Unit Economics'!I8</x:f>
        <x:v>0.7174679487179487</x:v>
      </x:c>
      <x:c r="D22" s="243" t="n">
        <x:f>'Assumptions'!G26</x:f>
        <x:v>0.65</x:v>
      </x:c>
      <x:c r="E22" s="241" t="str">
        <x:f>'Unit Economics'!M8</x:f>
        <x:v>Clears target</x:v>
      </x:c>
      <x:c r="F22" s="239"/>
      <x:c r="G22" s="239"/>
      <x:c r="H22" s="239"/>
      <x:c r="I22" s="239"/>
      <x:c r="J22" s="239"/>
      <x:c r="K22" s="239"/>
      <x:c r="L22" s="239"/>
    </x:row>
    <x:row r="23">
      <x:c r="A23" s="241" t="str">
        <x:f>'Unit Economics'!A9</x:f>
        <x:v>Heutrix AI Guardrails</x:v>
      </x:c>
      <x:c r="B23" s="242" t="n">
        <x:f>'Unit Economics'!B9</x:f>
        <x:v>10500</x:v>
      </x:c>
      <x:c r="C23" s="243" t="n">
        <x:f>'Unit Economics'!I9</x:f>
        <x:v>0.6560714285714285</x:v>
      </x:c>
      <x:c r="D23" s="243" t="n">
        <x:f>'Assumptions'!G27</x:f>
        <x:v>0.65</x:v>
      </x:c>
      <x:c r="E23" s="241" t="str">
        <x:f>'Unit Economics'!M9</x:f>
        <x:v>Clears target</x:v>
      </x:c>
      <x:c r="F23" s="239"/>
      <x:c r="G23" s="239"/>
      <x:c r="H23" s="239"/>
      <x:c r="I23" s="239"/>
      <x:c r="J23" s="239"/>
      <x:c r="K23" s="239"/>
      <x:c r="L23" s="239"/>
    </x:row>
    <x:row r="24">
      <x:c r="A24" s="241" t="str">
        <x:f>'Unit Economics'!A10</x:f>
        <x:v>Workflow Transformation — Expanded</x:v>
      </x:c>
      <x:c r="B24" s="242" t="n">
        <x:f>'Unit Economics'!B10</x:f>
        <x:v>33000</x:v>
      </x:c>
      <x:c r="C24" s="243" t="n">
        <x:f>'Unit Economics'!I10</x:f>
        <x:v>0.7191666666666667</x:v>
      </x:c>
      <x:c r="D24" s="243" t="n">
        <x:f>'Assumptions'!G28</x:f>
        <x:v>0.65</x:v>
      </x:c>
      <x:c r="E24" s="241" t="str">
        <x:f>'Unit Economics'!M10</x:f>
        <x:v>Clears target</x:v>
      </x:c>
      <x:c r="F24" s="239"/>
      <x:c r="G24" s="239"/>
      <x:c r="H24" s="239"/>
      <x:c r="I24" s="239"/>
      <x:c r="J24" s="239"/>
      <x:c r="K24" s="239"/>
      <x:c r="L24" s="239"/>
    </x:row>
    <x:row r="25">
      <x:c r="A25" s="241" t="str">
        <x:f>'Unit Economics'!A11</x:f>
        <x:v>Stabilisation / support</x:v>
      </x:c>
      <x:c r="B25" s="242" t="n">
        <x:f>'Unit Economics'!B11</x:f>
        <x:v>1800</x:v>
      </x:c>
      <x:c r="C25" s="243" t="n">
        <x:f>'Unit Economics'!I11</x:f>
        <x:v>0.8009375</x:v>
      </x:c>
      <x:c r="D25" s="243" t="n">
        <x:f>'Assumptions'!G29</x:f>
        <x:v>0.75</x:v>
      </x:c>
      <x:c r="E25" s="241" t="str">
        <x:f>'Unit Economics'!M11</x:f>
        <x:v>Clears target</x:v>
      </x:c>
      <x:c r="F25" s="239"/>
      <x:c r="G25" s="239"/>
      <x:c r="H25" s="239"/>
      <x:c r="I25" s="239"/>
      <x:c r="J25" s="239"/>
      <x:c r="K25" s="239"/>
      <x:c r="L25" s="239"/>
    </x:row>
    <x:row r="26">
      <x:c r="A26" s="239"/>
      <x:c r="B26" s="239"/>
      <x:c r="C26" s="239"/>
      <x:c r="D26" s="239"/>
      <x:c r="E26" s="239"/>
      <x:c r="F26" s="239"/>
      <x:c r="G26" s="239"/>
      <x:c r="H26" s="239"/>
      <x:c r="I26" s="239"/>
      <x:c r="J26" s="239"/>
      <x:c r="K26" s="239"/>
      <x:c r="L26" s="239"/>
    </x:row>
    <x:row r="27">
      <x:c r="A27" s="239"/>
      <x:c r="B27" s="239"/>
      <x:c r="C27" s="239"/>
      <x:c r="D27" s="239"/>
      <x:c r="E27" s="239"/>
      <x:c r="F27" s="239"/>
      <x:c r="G27" s="239"/>
      <x:c r="H27" s="239"/>
      <x:c r="I27" s="239"/>
      <x:c r="J27" s="239"/>
      <x:c r="K27" s="239"/>
      <x:c r="L27" s="239"/>
    </x:row>
    <x:row r="28">
      <x:c r="A28" s="239"/>
      <x:c r="B28" s="239"/>
      <x:c r="C28" s="239"/>
      <x:c r="D28" s="239"/>
      <x:c r="E28" s="239"/>
      <x:c r="F28" s="239"/>
      <x:c r="G28" s="239"/>
      <x:c r="H28" s="239"/>
      <x:c r="I28" s="239"/>
      <x:c r="J28" s="239"/>
      <x:c r="K28" s="239"/>
      <x:c r="L28" s="239"/>
    </x:row>
    <x:row r="29" ht="23" customHeight="1">
      <x:c r="A29" s="329" t="str">
        <x:v>Decision and operating implications</x:v>
      </x:c>
      <x:c r="B29" s="11" t="str">
        <x:v>Decision and operating implications</x:v>
      </x:c>
      <x:c r="C29" s="11" t="str">
        <x:v>Decision and operating implications</x:v>
      </x:c>
      <x:c r="D29" s="11" t="str">
        <x:v>Decision and operating implications</x:v>
      </x:c>
      <x:c r="E29" s="11" t="str">
        <x:v>Decision and operating implications</x:v>
      </x:c>
      <x:c r="F29" s="11" t="str">
        <x:v>Decision and operating implications</x:v>
      </x:c>
      <x:c r="G29" s="11" t="str">
        <x:v>Decision and operating implications</x:v>
      </x:c>
      <x:c r="H29" s="11" t="str">
        <x:v>Decision and operating implications</x:v>
      </x:c>
      <x:c r="I29" s="11" t="str">
        <x:v>Decision and operating implications</x:v>
      </x:c>
      <x:c r="J29" s="11" t="str">
        <x:v>Decision and operating implications</x:v>
      </x:c>
      <x:c r="K29" s="11" t="str">
        <x:v>Decision and operating implications</x:v>
      </x:c>
      <x:c r="L29" s="11" t="str">
        <x:v>Decision and operating implications</x:v>
      </x:c>
    </x:row>
    <x:row r="30">
      <x:c r="A30" s="341" t="str">
        <x:v>1. Use the Base case for operating planning, the Conservative case for survival cash and the Upside case only for capacity preparation.
2. Do not treat the offshore hourly fee as the full delivered cost. Retain the execution uplift, Australian consultant oversight, contingency, non-labour inputs and offshore privacy/security controls.
3. The Base plan supports positive Year 1 operating contribution after a detailed Australian cost base, but it requires an indicative working-capital reserve before tax/GST obligations.
4. Pricing remains internal and provisional. Approve entity/GST status, insurance, systems, payment stages, contractor terms, offshore access controls and exception authority before quoting.</x:v>
      </x:c>
      <x:c r="B30" s="123"/>
      <x:c r="C30" s="123"/>
      <x:c r="D30" s="123"/>
      <x:c r="E30" s="123"/>
      <x:c r="F30" s="123"/>
      <x:c r="G30" s="123"/>
      <x:c r="H30" s="123"/>
      <x:c r="I30" s="123"/>
      <x:c r="J30" s="123"/>
      <x:c r="K30" s="123"/>
      <x:c r="L30" s="124"/>
    </x:row>
    <x:row r="31">
      <x:c r="A31" s="125"/>
      <x:c r="B31" s="126"/>
      <x:c r="C31" s="126"/>
      <x:c r="D31" s="126"/>
      <x:c r="E31" s="126"/>
      <x:c r="F31" s="126"/>
      <x:c r="G31" s="126"/>
      <x:c r="H31" s="126"/>
      <x:c r="I31" s="126"/>
      <x:c r="J31" s="126"/>
      <x:c r="K31" s="126"/>
      <x:c r="L31" s="127"/>
    </x:row>
    <x:row r="32">
      <x:c r="A32" s="125"/>
      <x:c r="B32" s="126"/>
      <x:c r="C32" s="126"/>
      <x:c r="D32" s="126"/>
      <x:c r="E32" s="126"/>
      <x:c r="F32" s="126"/>
      <x:c r="G32" s="126"/>
      <x:c r="H32" s="126"/>
      <x:c r="I32" s="126"/>
      <x:c r="J32" s="126"/>
      <x:c r="K32" s="126"/>
      <x:c r="L32" s="127"/>
    </x:row>
    <x:row r="33">
      <x:c r="A33" s="125"/>
      <x:c r="B33" s="126"/>
      <x:c r="C33" s="126"/>
      <x:c r="D33" s="126"/>
      <x:c r="E33" s="126"/>
      <x:c r="F33" s="126"/>
      <x:c r="G33" s="126"/>
      <x:c r="H33" s="126"/>
      <x:c r="I33" s="126"/>
      <x:c r="J33" s="126"/>
      <x:c r="K33" s="126"/>
      <x:c r="L33" s="127"/>
    </x:row>
    <x:row r="34">
      <x:c r="A34" s="125"/>
      <x:c r="B34" s="126"/>
      <x:c r="C34" s="126"/>
      <x:c r="D34" s="126"/>
      <x:c r="E34" s="126"/>
      <x:c r="F34" s="126"/>
      <x:c r="G34" s="126"/>
      <x:c r="H34" s="126"/>
      <x:c r="I34" s="126"/>
      <x:c r="J34" s="126"/>
      <x:c r="K34" s="126"/>
      <x:c r="L34" s="127"/>
    </x:row>
    <x:row r="35">
      <x:c r="A35" s="125"/>
      <x:c r="B35" s="126"/>
      <x:c r="C35" s="126"/>
      <x:c r="D35" s="126"/>
      <x:c r="E35" s="126"/>
      <x:c r="F35" s="126"/>
      <x:c r="G35" s="126"/>
      <x:c r="H35" s="126"/>
      <x:c r="I35" s="126"/>
      <x:c r="J35" s="126"/>
      <x:c r="K35" s="126"/>
      <x:c r="L35" s="127"/>
    </x:row>
    <x:row r="36">
      <x:c r="A36" s="128"/>
      <x:c r="B36" s="129"/>
      <x:c r="C36" s="129"/>
      <x:c r="D36" s="129"/>
      <x:c r="E36" s="129"/>
      <x:c r="F36" s="129"/>
      <x:c r="G36" s="129"/>
      <x:c r="H36" s="129"/>
      <x:c r="I36" s="129"/>
      <x:c r="J36" s="129"/>
      <x:c r="K36" s="129"/>
      <x:c r="L36" s="130"/>
    </x:row>
    <x:row r="37">
      <x:c r="A37" s="239"/>
      <x:c r="B37" s="239"/>
      <x:c r="C37" s="239"/>
      <x:c r="D37" s="239"/>
      <x:c r="E37" s="239"/>
      <x:c r="F37" s="239"/>
      <x:c r="G37" s="239"/>
      <x:c r="H37" s="239"/>
      <x:c r="I37" s="239"/>
      <x:c r="J37" s="239"/>
      <x:c r="K37" s="239"/>
      <x:c r="L37" s="239"/>
    </x:row>
    <x:row r="38">
      <x:c r="A38" s="239"/>
      <x:c r="B38" s="239"/>
      <x:c r="C38" s="239"/>
      <x:c r="D38" s="239"/>
      <x:c r="E38" s="239"/>
      <x:c r="F38" s="239"/>
      <x:c r="G38" s="239"/>
      <x:c r="H38" s="239"/>
      <x:c r="I38" s="239"/>
      <x:c r="J38" s="239"/>
      <x:c r="K38" s="239"/>
      <x:c r="L38" s="239"/>
    </x:row>
    <x:row r="39" ht="23" customHeight="1">
      <x:c r="A39" s="329" t="str">
        <x:v>Workbook map</x:v>
      </x:c>
      <x:c r="B39" s="11" t="str">
        <x:v>Workbook map</x:v>
      </x:c>
      <x:c r="C39" s="11" t="str">
        <x:v>Workbook map</x:v>
      </x:c>
      <x:c r="D39" s="11" t="str">
        <x:v>Workbook map</x:v>
      </x:c>
      <x:c r="E39" s="11" t="str">
        <x:v>Workbook map</x:v>
      </x:c>
      <x:c r="F39" s="11" t="str">
        <x:v>Workbook map</x:v>
      </x:c>
      <x:c r="G39" s="11" t="str">
        <x:v>Workbook map</x:v>
      </x:c>
      <x:c r="H39" s="11" t="str">
        <x:v>Workbook map</x:v>
      </x:c>
      <x:c r="I39" s="11" t="str">
        <x:v>Workbook map</x:v>
      </x:c>
      <x:c r="J39" s="11" t="str">
        <x:v>Workbook map</x:v>
      </x:c>
      <x:c r="K39" s="11" t="str">
        <x:v>Workbook map</x:v>
      </x:c>
      <x:c r="L39" s="11" t="str">
        <x:v>Workbook map</x:v>
      </x:c>
    </x:row>
    <x:row r="40">
      <x:c r="A40" s="335" t="str">
        <x:v>Sheet</x:v>
      </x:c>
      <x:c r="B40" s="337" t="str">
        <x:v>Purpose</x:v>
      </x:c>
      <x:c r="C40" s="21"/>
      <x:c r="D40" s="21"/>
      <x:c r="E40" s="21"/>
      <x:c r="F40" s="22"/>
      <x:c r="G40" s="239"/>
      <x:c r="H40" s="244" t="str">
        <x:v>How to use
• Update blue cells only.
• Record actual hours and vendor costs after each project.
• Review price and scope when expected GM falls below target.
• Ring-fence GST and tax cash.
• Hire or add contractor capacity from signed backlog, not forecast volume.
• Treat all offshore access as subject to approved contracts, privacy, security and client scope.</x:v>
      </x:c>
      <x:c r="I40" s="244"/>
      <x:c r="J40" s="244"/>
      <x:c r="K40" s="244"/>
      <x:c r="L40" s="244"/>
    </x:row>
    <x:row r="41">
      <x:c r="A41" s="245" t="str">
        <x:v>Assumptions</x:v>
      </x:c>
      <x:c r="B41" s="245" t="str">
        <x:v>Editable rates, margin rules, price points, volumes, Australian costs and seasonality</x:v>
      </x:c>
      <x:c r="C41" s="245"/>
      <x:c r="D41" s="245"/>
      <x:c r="E41" s="245"/>
      <x:c r="F41" s="245"/>
      <x:c r="G41" s="239"/>
      <x:c r="H41" s="244"/>
      <x:c r="I41" s="244"/>
      <x:c r="J41" s="244"/>
      <x:c r="K41" s="244"/>
      <x:c r="L41" s="244"/>
    </x:row>
    <x:row r="42">
      <x:c r="A42" s="245" t="str">
        <x:v>Unit Economics</x:v>
      </x:c>
      <x:c r="B42" s="245" t="str">
        <x:v>Offer-level consultant/developer costs and low/base/high margin stress test</x:v>
      </x:c>
      <x:c r="C42" s="245"/>
      <x:c r="D42" s="245"/>
      <x:c r="E42" s="245"/>
      <x:c r="F42" s="245"/>
      <x:c r="G42" s="239"/>
      <x:c r="H42" s="244"/>
      <x:c r="I42" s="244"/>
      <x:c r="J42" s="244"/>
      <x:c r="K42" s="244"/>
      <x:c r="L42" s="244"/>
    </x:row>
    <x:row r="43">
      <x:c r="A43" s="245" t="str">
        <x:v>Scenario Forecast</x:v>
      </x:c>
      <x:c r="B43" s="245" t="str">
        <x:v>Three-year revenue, direct cost, gross profit, opex, tax and cash reserve</x:v>
      </x:c>
      <x:c r="C43" s="245"/>
      <x:c r="D43" s="245"/>
      <x:c r="E43" s="245"/>
      <x:c r="F43" s="245"/>
      <x:c r="G43" s="239"/>
      <x:c r="H43" s="244"/>
      <x:c r="I43" s="244"/>
      <x:c r="J43" s="244"/>
      <x:c r="K43" s="244"/>
      <x:c r="L43" s="244"/>
    </x:row>
    <x:row r="44">
      <x:c r="A44" s="245" t="str">
        <x:v>Base Quarterly</x:v>
      </x:c>
      <x:c r="B44" s="245" t="str">
        <x:v>Quarterly ramp, operating contribution and capacity gates</x:v>
      </x:c>
      <x:c r="C44" s="245"/>
      <x:c r="D44" s="245"/>
      <x:c r="E44" s="245"/>
      <x:c r="F44" s="245"/>
      <x:c r="G44" s="239"/>
      <x:c r="H44" s="244"/>
      <x:c r="I44" s="244"/>
      <x:c r="J44" s="244"/>
      <x:c r="K44" s="244"/>
      <x:c r="L44" s="244"/>
    </x:row>
    <x:row r="45">
      <x:c r="A45" s="245" t="str">
        <x:v>Operating Budget</x:v>
      </x:c>
      <x:c r="B45" s="245" t="str">
        <x:v>Detailed three-year Australian cost base and monthly Year 1 budget</x:v>
      </x:c>
      <x:c r="C45" s="245"/>
      <x:c r="D45" s="245"/>
      <x:c r="E45" s="245"/>
      <x:c r="F45" s="245"/>
      <x:c r="G45" s="239"/>
      <x:c r="H45" s="244"/>
      <x:c r="I45" s="244"/>
      <x:c r="J45" s="244"/>
      <x:c r="K45" s="244"/>
      <x:c r="L45" s="244"/>
    </x:row>
    <x:row r="46">
      <x:c r="A46" s="245" t="str">
        <x:v>Tax &amp; Cash</x:v>
      </x:c>
      <x:c r="B46" s="245" t="str">
        <x:v>Indicative GST, company-tax and working-capital ring-fence</x:v>
      </x:c>
      <x:c r="C46" s="245"/>
      <x:c r="D46" s="245"/>
      <x:c r="E46" s="245"/>
      <x:c r="F46" s="245"/>
      <x:c r="G46" s="239"/>
      <x:c r="H46" s="244"/>
      <x:c r="I46" s="244"/>
      <x:c r="J46" s="244"/>
      <x:c r="K46" s="244"/>
      <x:c r="L46" s="244"/>
    </x:row>
    <x:row r="47">
      <x:c r="A47" s="245" t="str">
        <x:v>Capacity</x:v>
      </x:c>
      <x:c r="B47" s="245" t="str">
        <x:v>Consultant and offshore developer role-capacity plan</x:v>
      </x:c>
      <x:c r="C47" s="245"/>
      <x:c r="D47" s="245"/>
      <x:c r="E47" s="245"/>
      <x:c r="F47" s="245"/>
      <x:c r="G47" s="239"/>
      <x:c r="H47" s="244"/>
      <x:c r="I47" s="244"/>
      <x:c r="J47" s="244"/>
      <x:c r="K47" s="244"/>
      <x:c r="L47" s="244"/>
    </x:row>
    <x:row r="48">
      <x:c r="A48" s="245" t="str">
        <x:v>Checks / Sources</x:v>
      </x:c>
      <x:c r="B48" s="245" t="str">
        <x:v>Formula controls, assumptions, official guidance and open caveats</x:v>
      </x:c>
      <x:c r="C48" s="245"/>
      <x:c r="D48" s="245"/>
      <x:c r="E48" s="245"/>
      <x:c r="F48" s="245"/>
      <x:c r="G48" s="239"/>
      <x:c r="H48" s="244"/>
      <x:c r="I48" s="244"/>
      <x:c r="J48" s="244"/>
      <x:c r="K48" s="244"/>
      <x:c r="L48" s="244"/>
    </x:row>
  </x:sheetData>
  <x:mergeCells>
    <x:mergeCell ref="A1:L1"/>
    <x:mergeCell ref="A2:L3"/>
    <x:mergeCell ref="A5:L5"/>
    <x:mergeCell ref="A6:C6"/>
    <x:mergeCell ref="A7:C9"/>
    <x:mergeCell ref="D6:F6"/>
    <x:mergeCell ref="D7:F9"/>
    <x:mergeCell ref="G6:I6"/>
    <x:mergeCell ref="G7:I9"/>
    <x:mergeCell ref="J6:L6"/>
    <x:mergeCell ref="J7:L9"/>
    <x:mergeCell ref="A11:D11"/>
    <x:mergeCell ref="A18:E18"/>
    <x:mergeCell ref="A29:L29"/>
    <x:mergeCell ref="A30:L36"/>
    <x:mergeCell ref="A39:L39"/>
    <x:mergeCell ref="B40:F40"/>
    <x:mergeCell ref="B41:F41"/>
    <x:mergeCell ref="B42:F42"/>
    <x:mergeCell ref="B43:F43"/>
    <x:mergeCell ref="B44:F44"/>
    <x:mergeCell ref="B45:F45"/>
    <x:mergeCell ref="B46:F46"/>
    <x:mergeCell ref="B47:F47"/>
    <x:mergeCell ref="B48:F48"/>
    <x:mergeCell ref="H40:L48"/>
  </x:mergeCells>
  <x:conditionalFormatting sqref="E20:E25">
    <x:cfRule type="containsText" dxfId="11" priority="1" operator="containsText" text="Clears"/>
  </x:conditionalFormatting>
  <x:pageMargins left="0.7" right="0.7" top="0.75" bottom="0.75" header="0.3" footer="0.3"/>
  <x:drawing xmlns:r="http://schemas.openxmlformats.org/officeDocument/2006/relationships" r:id="R5ff7a514121a4bd6"/>
</x:worksheet>
</file>

<file path=xl/worksheets/sheet2.xml><?xml version="1.0" encoding="utf-8"?>
<x:worksheet xmlns:x="http://schemas.openxmlformats.org/spreadsheetml/2006/main">
  <x:sheetViews>
    <x:sheetView showGridLines="0" workbookViewId="0"/>
  </x:sheetViews>
  <x:sheetFormatPr defaultRowHeight="15"/>
  <x:cols>
    <x:col min="1" max="1" width="44" hidden="0" customWidth="1"/>
    <x:col min="2" max="2" width="14" hidden="0" customWidth="1"/>
    <x:col min="3" max="3" width="19" hidden="0" customWidth="1"/>
    <x:col min="4" max="4" width="16" hidden="0" customWidth="1"/>
    <x:col min="5" max="5" width="20" hidden="0" customWidth="1"/>
    <x:col min="6" max="6" width="43" hidden="0" customWidth="1"/>
    <x:col min="7" max="7" width="48.880001068115234" hidden="0" customWidth="1"/>
    <x:col min="8" max="8" width="34" hidden="0" customWidth="1"/>
    <x:col min="9" max="9" width="15" hidden="0" customWidth="1"/>
    <x:col min="10" max="10" width="18" hidden="0" customWidth="1"/>
    <x:col min="11" max="11" width="16" hidden="0" customWidth="1"/>
    <x:col min="12" max="12" width="28" hidden="0" customWidth="1"/>
    <x:col min="13" max="13" width="35" hidden="0" customWidth="1"/>
    <x:col min="14" max="14" width="11" hidden="0" customWidth="1"/>
    <x:col min="15" max="15" width="11" hidden="0" customWidth="1"/>
    <x:col min="16" max="16" width="11" hidden="0" customWidth="1"/>
    <x:col min="17" max="17" width="11" hidden="0" customWidth="1"/>
  </x:cols>
  <x:sheetData>
    <x:row r="1" ht="21.600000381469727" hidden="0" customHeight="1">
      <x:c r="A1" s="328" t="str">
        <x:v>Heutrix — Finance Model Assumptions</x:v>
      </x:c>
      <x:c r="B1" s="4" t="str">
        <x:v>Heutrix — Finance Model Assumptions</x:v>
      </x:c>
      <x:c r="C1" s="4" t="str">
        <x:v>Heutrix — Finance Model Assumptions</x:v>
      </x:c>
      <x:c r="D1" s="4" t="str">
        <x:v>Heutrix — Finance Model Assumptions</x:v>
      </x:c>
      <x:c r="E1" s="4" t="str">
        <x:v>Heutrix — Finance Model Assumptions</x:v>
      </x:c>
      <x:c r="F1" s="4" t="str">
        <x:v>Heutrix — Finance Model Assumptions</x:v>
      </x:c>
      <x:c r="G1" s="4" t="str">
        <x:v>Heutrix — Finance Model Assumptions</x:v>
      </x:c>
      <x:c r="H1" s="4" t="str">
        <x:v>Heutrix — Finance Model Assumptions</x:v>
      </x:c>
      <x:c r="I1" s="4" t="str">
        <x:v>Heutrix — Finance Model Assumptions</x:v>
      </x:c>
      <x:c r="J1" s="4" t="str">
        <x:v>Heutrix — Finance Model Assumptions</x:v>
      </x:c>
      <x:c r="K1" s="4" t="str">
        <x:v>Heutrix — Finance Model Assumptions</x:v>
      </x:c>
      <x:c r="L1" s="4" t="str">
        <x:v>Heutrix — Finance Model Assumptions</x:v>
      </x:c>
      <x:c r="M1" s="4" t="str">
        <x:v>Heutrix — Finance Model Assumptions</x:v>
      </x:c>
      <x:c r="N1" s="4" t="str">
        <x:v>Heutrix — Finance Model Assumptions</x:v>
      </x:c>
      <x:c r="O1" s="4" t="str">
        <x:v>Heutrix — Finance Model Assumptions</x:v>
      </x:c>
      <x:c r="P1" s="4" t="str">
        <x:v>Heutrix — Finance Model Assumptions</x:v>
      </x:c>
      <x:c r="Q1" s="4" t="str">
        <x:v>Heutrix — Finance Model Assumptions</x:v>
      </x:c>
    </x:row>
    <x:row r="2">
      <x:c r="A2" s="244" t="str">
        <x:v>Editable inputs are blue. Rates supplied by the owner are treated as AUD direct cost rates: consultants $80–$100/hour and offshore developers $30–$35/hour. Prices are internal planning points only, ex GST, and require owner approval before quoting or publication.</x:v>
      </x:c>
      <x:c r="B2" s="244"/>
      <x:c r="C2" s="244"/>
      <x:c r="D2" s="244"/>
      <x:c r="E2" s="244"/>
      <x:c r="F2" s="244"/>
      <x:c r="G2" s="244"/>
      <x:c r="H2" s="244"/>
      <x:c r="I2" s="244"/>
      <x:c r="J2" s="244"/>
      <x:c r="K2" s="244"/>
      <x:c r="L2" s="244"/>
      <x:c r="M2" s="244"/>
      <x:c r="N2" s="244"/>
      <x:c r="O2" s="244"/>
      <x:c r="P2" s="244"/>
      <x:c r="Q2" s="244"/>
    </x:row>
    <x:row r="3">
      <x:c r="A3" s="244"/>
      <x:c r="B3" s="244"/>
      <x:c r="C3" s="244"/>
      <x:c r="D3" s="244"/>
      <x:c r="E3" s="244"/>
      <x:c r="F3" s="244"/>
      <x:c r="G3" s="244"/>
      <x:c r="H3" s="244"/>
      <x:c r="I3" s="244"/>
      <x:c r="J3" s="244"/>
      <x:c r="K3" s="244"/>
      <x:c r="L3" s="244"/>
      <x:c r="M3" s="244"/>
      <x:c r="N3" s="244"/>
      <x:c r="O3" s="244"/>
      <x:c r="P3" s="244"/>
      <x:c r="Q3" s="244"/>
    </x:row>
    <x:row r="4">
      <x:c r="A4" s="239"/>
      <x:c r="B4" s="239"/>
      <x:c r="C4" s="239"/>
      <x:c r="D4" s="239"/>
      <x:c r="E4" s="239"/>
      <x:c r="F4" s="239"/>
      <x:c r="G4" s="239"/>
      <x:c r="H4" s="239"/>
      <x:c r="I4" s="239"/>
      <x:c r="J4" s="239"/>
      <x:c r="K4" s="239"/>
      <x:c r="L4" s="239"/>
      <x:c r="M4" s="239"/>
      <x:c r="N4" s="239"/>
      <x:c r="O4" s="239"/>
      <x:c r="P4" s="239"/>
      <x:c r="Q4" s="239"/>
    </x:row>
    <x:row r="5" ht="15" hidden="0" customHeight="1">
      <x:c r="A5" s="329" t="str">
        <x:v>Labour rates and productive capacity</x:v>
      </x:c>
      <x:c r="B5" s="11" t="str">
        <x:v>Labour rates and productive capacity</x:v>
      </x:c>
      <x:c r="C5" s="11" t="str">
        <x:v>Labour rates and productive capacity</x:v>
      </x:c>
      <x:c r="D5" s="11" t="str">
        <x:v>Labour rates and productive capacity</x:v>
      </x:c>
      <x:c r="E5" s="11" t="str">
        <x:v>Labour rates and productive capacity</x:v>
      </x:c>
      <x:c r="F5" s="11" t="str">
        <x:v>Labour rates and productive capacity</x:v>
      </x:c>
      <x:c r="G5" s="239"/>
      <x:c r="H5" s="329" t="str">
        <x:v>Australian tax, employment and cash assumptions</x:v>
      </x:c>
      <x:c r="I5" s="11" t="str">
        <x:v>Australian tax, employment and cash assumptions</x:v>
      </x:c>
      <x:c r="J5" s="11" t="str">
        <x:v>Australian tax, employment and cash assumptions</x:v>
      </x:c>
      <x:c r="K5" s="11" t="str">
        <x:v>Australian tax, employment and cash assumptions</x:v>
      </x:c>
      <x:c r="L5" s="11" t="str">
        <x:v>Australian tax, employment and cash assumptions</x:v>
      </x:c>
      <x:c r="M5" s="11" t="str">
        <x:v>Australian tax, employment and cash assumptions</x:v>
      </x:c>
      <x:c r="N5" s="239"/>
      <x:c r="O5" s="239"/>
      <x:c r="P5" s="239"/>
      <x:c r="Q5" s="239"/>
    </x:row>
    <x:row r="6" ht="15" hidden="0" customHeight="1">
      <x:c r="A6" s="335" t="str">
        <x:v>Driver</x:v>
      </x:c>
      <x:c r="B6" s="337" t="str">
        <x:v>Low</x:v>
      </x:c>
      <x:c r="C6" s="337" t="str">
        <x:v>Base</x:v>
      </x:c>
      <x:c r="D6" s="337" t="str">
        <x:v>High</x:v>
      </x:c>
      <x:c r="E6" s="337" t="str">
        <x:v>Unit</x:v>
      </x:c>
      <x:c r="F6" s="339" t="str">
        <x:v>Basis</x:v>
      </x:c>
      <x:c r="G6" s="239"/>
      <x:c r="H6" s="335" t="str">
        <x:v>Driver</x:v>
      </x:c>
      <x:c r="I6" s="337" t="str">
        <x:v>Value</x:v>
      </x:c>
      <x:c r="J6" s="337" t="str">
        <x:v>Unit</x:v>
      </x:c>
      <x:c r="K6" s="337" t="str">
        <x:v>P&amp;L / cash</x:v>
      </x:c>
      <x:c r="L6" s="337" t="str">
        <x:v>Status</x:v>
      </x:c>
      <x:c r="M6" s="339" t="str">
        <x:v>Basis</x:v>
      </x:c>
      <x:c r="N6" s="239"/>
      <x:c r="O6" s="239"/>
      <x:c r="P6" s="239"/>
      <x:c r="Q6" s="239"/>
    </x:row>
    <x:row r="7" ht="40" hidden="0" customHeight="1">
      <x:c r="A7" s="239" t="str">
        <x:v>Consultant hourly cost</x:v>
      </x:c>
      <x:c r="B7" s="246" t="n">
        <x:v>80</x:v>
      </x:c>
      <x:c r="C7" s="247" t="n">
        <x:v>90</x:v>
      </x:c>
      <x:c r="D7" s="248" t="n">
        <x:v>100</x:v>
      </x:c>
      <x:c r="E7" s="239" t="str">
        <x:v>AUD/hour</x:v>
      </x:c>
      <x:c r="F7" s="239" t="str">
        <x:v>Owner-supplied range; midpoint used in Base</x:v>
      </x:c>
      <x:c r="G7" s="239"/>
      <x:c r="H7" s="245" t="str">
        <x:v>GST rate</x:v>
      </x:c>
      <x:c r="I7" s="249" t="n">
        <x:v>0.1</x:v>
      </x:c>
      <x:c r="J7" s="245" t="str">
        <x:v>%</x:v>
      </x:c>
      <x:c r="K7" s="245" t="str">
        <x:v>Cash only</x:v>
      </x:c>
      <x:c r="L7" s="245" t="str">
        <x:v>Official</x:v>
      </x:c>
      <x:c r="M7" s="245" t="str">
        <x:v>ATO taxable-sales rate</x:v>
      </x:c>
      <x:c r="N7" s="239"/>
      <x:c r="O7" s="239"/>
      <x:c r="P7" s="239"/>
      <x:c r="Q7" s="239"/>
    </x:row>
    <x:row r="8" ht="40" hidden="0" customHeight="1">
      <x:c r="A8" s="239" t="str">
        <x:v>Offshore developer hourly fee</x:v>
      </x:c>
      <x:c r="B8" s="250" t="n">
        <x:v>30</x:v>
      </x:c>
      <x:c r="C8" s="251" t="n">
        <x:v>32.5</x:v>
      </x:c>
      <x:c r="D8" s="252" t="n">
        <x:v>35</x:v>
      </x:c>
      <x:c r="E8" s="239" t="str">
        <x:v>AUD/hour</x:v>
      </x:c>
      <x:c r="F8" s="239" t="str">
        <x:v>Owner-supplied range; midpoint used in Base</x:v>
      </x:c>
      <x:c r="G8" s="239"/>
      <x:c r="H8" s="245" t="str">
        <x:v>GST registration threshold</x:v>
      </x:c>
      <x:c r="I8" s="253" t="n">
        <x:v>75000</x:v>
      </x:c>
      <x:c r="J8" s="245" t="str">
        <x:v>AUD turnover</x:v>
      </x:c>
      <x:c r="K8" s="245" t="str">
        <x:v>Cash only</x:v>
      </x:c>
      <x:c r="L8" s="245" t="str">
        <x:v>Official</x:v>
      </x:c>
      <x:c r="M8" s="245" t="str">
        <x:v>ATO threshold; model assumes registration from launch</x:v>
      </x:c>
      <x:c r="N8" s="239"/>
      <x:c r="O8" s="239"/>
      <x:c r="P8" s="239"/>
      <x:c r="Q8" s="239"/>
    </x:row>
    <x:row r="9" ht="40" hidden="0" customHeight="1">
      <x:c r="A9" s="239" t="str">
        <x:v>Consultant productive capacity</x:v>
      </x:c>
      <x:c r="B9" s="254" t="n">
        <x:v>1170</x:v>
      </x:c>
      <x:c r="C9" s="255" t="n">
        <x:v>1170</x:v>
      </x:c>
      <x:c r="D9" s="256" t="n">
        <x:v>1170</x:v>
      </x:c>
      <x:c r="E9" s="239" t="str">
        <x:v>delivery hours/FTE/year</x:v>
      </x:c>
      <x:c r="F9" s="239" t="str">
        <x:v>1,800 paid hours × 65% delivery utilisation</x:v>
      </x:c>
      <x:c r="G9" s="239"/>
      <x:c r="H9" s="245" t="str">
        <x:v>Selected company tax provision</x:v>
      </x:c>
      <x:c r="I9" s="257" t="n">
        <x:v>0.25</x:v>
      </x:c>
      <x:c r="J9" s="245" t="str">
        <x:v>% of positive profit</x:v>
      </x:c>
      <x:c r="K9" s="245" t="str">
        <x:v>Below operating contribution</x:v>
      </x:c>
      <x:c r="L9" s="245" t="str">
        <x:v>Provisional</x:v>
      </x:c>
      <x:c r="M9" s="245" t="str">
        <x:v>Use only if entity qualifies as a base rate entity</x:v>
      </x:c>
      <x:c r="N9" s="239"/>
      <x:c r="O9" s="239"/>
      <x:c r="P9" s="239"/>
      <x:c r="Q9" s="239"/>
    </x:row>
    <x:row r="10" ht="40" hidden="0" customHeight="1">
      <x:c r="A10" s="239" t="str">
        <x:v>Developer productive capacity</x:v>
      </x:c>
      <x:c r="B10" s="258" t="n">
        <x:v>1400</x:v>
      </x:c>
      <x:c r="C10" s="259" t="n">
        <x:v>1400</x:v>
      </x:c>
      <x:c r="D10" s="260" t="n">
        <x:v>1400</x:v>
      </x:c>
      <x:c r="E10" s="239" t="str">
        <x:v>delivery hours/FTE/year</x:v>
      </x:c>
      <x:c r="F10" s="239" t="str">
        <x:v>Allows for leave, handover and non-project time</x:v>
      </x:c>
      <x:c r="G10" s="239"/>
      <x:c r="H10" s="245" t="str">
        <x:v>Alternative company tax rate</x:v>
      </x:c>
      <x:c r="I10" s="257" t="n">
        <x:v>0.3</x:v>
      </x:c>
      <x:c r="J10" s="245" t="str">
        <x:v>% of positive profit</x:v>
      </x:c>
      <x:c r="K10" s="245" t="str">
        <x:v>Sensitivity</x:v>
      </x:c>
      <x:c r="L10" s="245" t="str">
        <x:v>Official</x:v>
      </x:c>
      <x:c r="M10" s="245" t="str">
        <x:v>Use if base-rate eligibility is not met</x:v>
      </x:c>
      <x:c r="N10" s="239"/>
      <x:c r="O10" s="239"/>
      <x:c r="P10" s="239"/>
      <x:c r="Q10" s="239"/>
    </x:row>
    <x:row r="11" ht="40" hidden="0" customHeight="1">
      <x:c r="A11" s="239"/>
      <x:c r="B11" s="239"/>
      <x:c r="C11" s="239"/>
      <x:c r="D11" s="239"/>
      <x:c r="E11" s="239"/>
      <x:c r="F11" s="239"/>
      <x:c r="G11" s="239"/>
      <x:c r="H11" s="245" t="str">
        <x:v>Superannuation guarantee</x:v>
      </x:c>
      <x:c r="I11" s="257" t="n">
        <x:v>0.12</x:v>
      </x:c>
      <x:c r="J11" s="245" t="str">
        <x:v>%</x:v>
      </x:c>
      <x:c r="K11" s="245" t="str">
        <x:v>Employee on-cost</x:v>
      </x:c>
      <x:c r="L11" s="245" t="str">
        <x:v>Official</x:v>
      </x:c>
      <x:c r="M11" s="245" t="str">
        <x:v>Applies to eligible Australian employees/contractors</x:v>
      </x:c>
      <x:c r="N11" s="239"/>
      <x:c r="O11" s="239"/>
      <x:c r="P11" s="239"/>
      <x:c r="Q11" s="239"/>
    </x:row>
    <x:row r="12" ht="40" hidden="0" customHeight="1">
      <x:c r="A12" s="329" t="str">
        <x:v>Direct-cost and margin policy</x:v>
      </x:c>
      <x:c r="B12" s="11" t="str">
        <x:v>Direct-cost and margin policy</x:v>
      </x:c>
      <x:c r="C12" s="11" t="str">
        <x:v>Direct-cost and margin policy</x:v>
      </x:c>
      <x:c r="D12" s="11" t="str">
        <x:v>Direct-cost and margin policy</x:v>
      </x:c>
      <x:c r="E12" s="11" t="str">
        <x:v>Direct-cost and margin policy</x:v>
      </x:c>
      <x:c r="F12" s="11" t="str">
        <x:v>Direct-cost and margin policy</x:v>
      </x:c>
      <x:c r="G12" s="239"/>
      <x:c r="H12" s="245" t="str">
        <x:v>Australian employee on-cost allowance</x:v>
      </x:c>
      <x:c r="I12" s="257" t="n">
        <x:v>0.2</x:v>
      </x:c>
      <x:c r="J12" s="245" t="str">
        <x:v>% of salary</x:v>
      </x:c>
      <x:c r="K12" s="245" t="str">
        <x:v>Future hires</x:v>
      </x:c>
      <x:c r="L12" s="245" t="str">
        <x:v>Provisional</x:v>
      </x:c>
      <x:c r="M12" s="245" t="str">
        <x:v>Includes super plus leave, workers compensation and payroll admin allowance</x:v>
      </x:c>
      <x:c r="N12" s="239"/>
      <x:c r="O12" s="239"/>
      <x:c r="P12" s="239"/>
      <x:c r="Q12" s="239"/>
    </x:row>
    <x:row r="13" ht="40" hidden="0" customHeight="1">
      <x:c r="A13" s="335" t="str">
        <x:v>Driver</x:v>
      </x:c>
      <x:c r="B13" s="337" t="str">
        <x:v>Value</x:v>
      </x:c>
      <x:c r="C13" s="337" t="str">
        <x:v>Unit</x:v>
      </x:c>
      <x:c r="D13" s="337" t="str">
        <x:v>Treatment</x:v>
      </x:c>
      <x:c r="E13" s="337" t="str">
        <x:v>Status</x:v>
      </x:c>
      <x:c r="F13" s="339" t="str">
        <x:v>Rationale</x:v>
      </x:c>
      <x:c r="G13" s="239"/>
      <x:c r="H13" s="245" t="str">
        <x:v>Operating-expense contingency</x:v>
      </x:c>
      <x:c r="I13" s="257" t="n">
        <x:v>0.075</x:v>
      </x:c>
      <x:c r="J13" s="245" t="str">
        <x:v>% of planned fixed opex</x:v>
      </x:c>
      <x:c r="K13" s="245" t="str">
        <x:v>Operating expense</x:v>
      </x:c>
      <x:c r="L13" s="245" t="str">
        <x:v>Provisional</x:v>
      </x:c>
      <x:c r="M13" s="245" t="str">
        <x:v>Budget buffer for unpriced or volatile costs</x:v>
      </x:c>
      <x:c r="N13" s="239"/>
      <x:c r="O13" s="239"/>
      <x:c r="P13" s="239"/>
      <x:c r="Q13" s="239"/>
    </x:row>
    <x:row r="14" ht="40" hidden="0" customHeight="1">
      <x:c r="A14" s="245" t="str">
        <x:v>Offshore execution uplift</x:v>
      </x:c>
      <x:c r="B14" s="249" t="n">
        <x:v>0.25</x:v>
      </x:c>
      <x:c r="C14" s="245" t="str">
        <x:v>% of developer fees</x:v>
      </x:c>
      <x:c r="D14" s="245" t="str">
        <x:v>Direct cost</x:v>
      </x:c>
      <x:c r="E14" s="245" t="str">
        <x:v>Provisional</x:v>
      </x:c>
      <x:c r="F14" s="245" t="str">
        <x:v>FX/payment friction, security/tooling, onboarding and coordination risk</x:v>
      </x:c>
      <x:c r="G14" s="239"/>
      <x:c r="H14" s="245" t="str">
        <x:v>Working-capital reserve — fixed opex</x:v>
      </x:c>
      <x:c r="I14" s="261" t="n">
        <x:v>3</x:v>
      </x:c>
      <x:c r="J14" s="245" t="str">
        <x:v>months</x:v>
      </x:c>
      <x:c r="K14" s="245" t="str">
        <x:v>Cash reserve</x:v>
      </x:c>
      <x:c r="L14" s="245" t="str">
        <x:v>Proposed</x:v>
      </x:c>
      <x:c r="M14" s="245" t="str">
        <x:v>Survival buffer</x:v>
      </x:c>
      <x:c r="N14" s="239"/>
      <x:c r="O14" s="239"/>
      <x:c r="P14" s="239"/>
      <x:c r="Q14" s="239"/>
    </x:row>
    <x:row r="15" ht="40" hidden="0" customHeight="1">
      <x:c r="A15" s="245" t="str">
        <x:v>Delivery contingency</x:v>
      </x:c>
      <x:c r="B15" s="257" t="n">
        <x:v>0.1</x:v>
      </x:c>
      <x:c r="C15" s="245" t="str">
        <x:v>% of pre-contingency cost</x:v>
      </x:c>
      <x:c r="D15" s="245" t="str">
        <x:v>Direct cost</x:v>
      </x:c>
      <x:c r="E15" s="245" t="str">
        <x:v>Provisional</x:v>
      </x:c>
      <x:c r="F15" s="245" t="str">
        <x:v>Rework, defects and stabilisation reserve</x:v>
      </x:c>
      <x:c r="G15" s="239"/>
      <x:c r="H15" s="245" t="str">
        <x:v>Working-capital reserve — direct cost</x:v>
      </x:c>
      <x:c r="I15" s="262" t="n">
        <x:v>1</x:v>
      </x:c>
      <x:c r="J15" s="245" t="str">
        <x:v>month</x:v>
      </x:c>
      <x:c r="K15" s="245" t="str">
        <x:v>Cash reserve</x:v>
      </x:c>
      <x:c r="L15" s="245" t="str">
        <x:v>Proposed</x:v>
      </x:c>
      <x:c r="M15" s="245" t="str">
        <x:v>Delivery and collection timing buffer</x:v>
      </x:c>
      <x:c r="N15" s="239"/>
      <x:c r="O15" s="239"/>
      <x:c r="P15" s="239"/>
      <x:c r="Q15" s="239"/>
    </x:row>
    <x:row r="16" ht="15" hidden="0" customHeight="1">
      <x:c r="A16" s="245" t="str">
        <x:v>Payment and collection costs</x:v>
      </x:c>
      <x:c r="B16" s="257" t="n">
        <x:v>0.01</x:v>
      </x:c>
      <x:c r="C16" s="245" t="str">
        <x:v>% of revenue</x:v>
      </x:c>
      <x:c r="D16" s="245" t="str">
        <x:v>Direct cost</x:v>
      </x:c>
      <x:c r="E16" s="245" t="str">
        <x:v>Provisional</x:v>
      </x:c>
      <x:c r="F16" s="245" t="str">
        <x:v>Card/collection mix; reduce when bank transfer is evidenced</x:v>
      </x:c>
      <x:c r="G16" s="239"/>
      <x:c r="H16" s="239"/>
      <x:c r="I16" s="239"/>
      <x:c r="J16" s="239"/>
      <x:c r="K16" s="239"/>
      <x:c r="L16" s="239"/>
      <x:c r="M16" s="239"/>
      <x:c r="N16" s="239"/>
      <x:c r="O16" s="239"/>
      <x:c r="P16" s="239"/>
      <x:c r="Q16" s="239"/>
    </x:row>
    <x:row r="17" ht="15" hidden="0" customHeight="1">
      <x:c r="A17" s="245" t="str">
        <x:v>Project target gross margin</x:v>
      </x:c>
      <x:c r="B17" s="257" t="n">
        <x:v>0.65</x:v>
      </x:c>
      <x:c r="C17" s="245" t="str">
        <x:v>%</x:v>
      </x:c>
      <x:c r="D17" s="245" t="str">
        <x:v>Pricing gate</x:v>
      </x:c>
      <x:c r="E17" s="245" t="str">
        <x:v>Proposed</x:v>
      </x:c>
      <x:c r="F17" s="245" t="str">
        <x:v>Ordinary approval target</x:v>
      </x:c>
      <x:c r="G17" s="239"/>
      <x:c r="H17" s="239"/>
      <x:c r="I17" s="239"/>
      <x:c r="J17" s="239"/>
      <x:c r="K17" s="239"/>
      <x:c r="L17" s="239"/>
      <x:c r="M17" s="239"/>
      <x:c r="N17" s="239"/>
      <x:c r="O17" s="239"/>
      <x:c r="P17" s="239"/>
      <x:c r="Q17" s="239"/>
    </x:row>
    <x:row r="18" ht="15" hidden="0" customHeight="1">
      <x:c r="A18" s="245" t="str">
        <x:v>Project hard floor</x:v>
      </x:c>
      <x:c r="B18" s="257" t="n">
        <x:v>0.6</x:v>
      </x:c>
      <x:c r="C18" s="245" t="str">
        <x:v>%</x:v>
      </x:c>
      <x:c r="D18" s="245" t="str">
        <x:v>Pricing gate</x:v>
      </x:c>
      <x:c r="E18" s="245" t="str">
        <x:v>Proposed</x:v>
      </x:c>
      <x:c r="F18" s="245" t="str">
        <x:v>Re-scope or obtain documented exception</x:v>
      </x:c>
      <x:c r="G18" s="239"/>
      <x:c r="H18" s="239"/>
      <x:c r="I18" s="239"/>
      <x:c r="J18" s="239"/>
      <x:c r="K18" s="239"/>
      <x:c r="L18" s="239"/>
      <x:c r="M18" s="239"/>
      <x:c r="N18" s="239"/>
      <x:c r="O18" s="239"/>
      <x:c r="P18" s="239"/>
      <x:c r="Q18" s="239"/>
    </x:row>
    <x:row r="19" ht="15" hidden="0" customHeight="1">
      <x:c r="A19" s="245" t="str">
        <x:v>Support target gross margin</x:v>
      </x:c>
      <x:c r="B19" s="257" t="n">
        <x:v>0.75</x:v>
      </x:c>
      <x:c r="C19" s="245" t="str">
        <x:v>%</x:v>
      </x:c>
      <x:c r="D19" s="245" t="str">
        <x:v>Pricing gate</x:v>
      </x:c>
      <x:c r="E19" s="245" t="str">
        <x:v>Proposed</x:v>
      </x:c>
      <x:c r="F19" s="245" t="str">
        <x:v>Protect monitoring and response capacity</x:v>
      </x:c>
      <x:c r="G19" s="239"/>
      <x:c r="H19" s="239"/>
      <x:c r="I19" s="239"/>
      <x:c r="J19" s="239"/>
      <x:c r="K19" s="239"/>
      <x:c r="L19" s="239"/>
      <x:c r="M19" s="239"/>
      <x:c r="N19" s="239"/>
      <x:c r="O19" s="239"/>
      <x:c r="P19" s="239"/>
      <x:c r="Q19" s="239"/>
    </x:row>
    <x:row r="20" ht="15" hidden="0" customHeight="1">
      <x:c r="A20" s="245" t="str">
        <x:v>Support hard floor</x:v>
      </x:c>
      <x:c r="B20" s="263" t="n">
        <x:v>0.65</x:v>
      </x:c>
      <x:c r="C20" s="245" t="str">
        <x:v>%</x:v>
      </x:c>
      <x:c r="D20" s="245" t="str">
        <x:v>Pricing gate</x:v>
      </x:c>
      <x:c r="E20" s="245" t="str">
        <x:v>Proposed</x:v>
      </x:c>
      <x:c r="F20" s="245" t="str">
        <x:v>Re-scope included time or price</x:v>
      </x:c>
      <x:c r="G20" s="239"/>
      <x:c r="H20" s="239"/>
      <x:c r="I20" s="239"/>
      <x:c r="J20" s="239"/>
      <x:c r="K20" s="239"/>
      <x:c r="L20" s="239"/>
      <x:c r="M20" s="239"/>
      <x:c r="N20" s="239"/>
      <x:c r="O20" s="239"/>
      <x:c r="P20" s="239"/>
      <x:c r="Q20" s="239"/>
    </x:row>
    <x:row r="21">
      <x:c r="A21" s="239"/>
      <x:c r="B21" s="239"/>
      <x:c r="C21" s="239"/>
      <x:c r="D21" s="239"/>
      <x:c r="E21" s="239"/>
      <x:c r="F21" s="239"/>
      <x:c r="G21" s="239"/>
      <x:c r="H21" s="239"/>
      <x:c r="I21" s="239"/>
      <x:c r="J21" s="239"/>
      <x:c r="K21" s="239"/>
      <x:c r="L21" s="239"/>
      <x:c r="M21" s="239"/>
      <x:c r="N21" s="239"/>
      <x:c r="O21" s="239"/>
      <x:c r="P21" s="239"/>
      <x:c r="Q21" s="239"/>
    </x:row>
    <x:row r="22" ht="15" hidden="0" customHeight="1">
      <x:c r="A22" s="329" t="str">
        <x:v>Offer economics and annual unit volumes</x:v>
      </x:c>
      <x:c r="B22" s="11" t="str">
        <x:v>Offer economics and annual unit volumes</x:v>
      </x:c>
      <x:c r="C22" s="11" t="str">
        <x:v>Offer economics and annual unit volumes</x:v>
      </x:c>
      <x:c r="D22" s="11" t="str">
        <x:v>Offer economics and annual unit volumes</x:v>
      </x:c>
      <x:c r="E22" s="11" t="str">
        <x:v>Offer economics and annual unit volumes</x:v>
      </x:c>
      <x:c r="F22" s="11" t="str">
        <x:v>Offer economics and annual unit volumes</x:v>
      </x:c>
      <x:c r="G22" s="11" t="str">
        <x:v>Offer economics and annual unit volumes</x:v>
      </x:c>
      <x:c r="H22" s="11" t="str">
        <x:v>Offer economics and annual unit volumes</x:v>
      </x:c>
      <x:c r="I22" s="11" t="str">
        <x:v>Offer economics and annual unit volumes</x:v>
      </x:c>
      <x:c r="J22" s="11" t="str">
        <x:v>Offer economics and annual unit volumes</x:v>
      </x:c>
      <x:c r="K22" s="11" t="str">
        <x:v>Offer economics and annual unit volumes</x:v>
      </x:c>
      <x:c r="L22" s="11" t="str">
        <x:v>Offer economics and annual unit volumes</x:v>
      </x:c>
      <x:c r="M22" s="11" t="str">
        <x:v>Offer economics and annual unit volumes</x:v>
      </x:c>
      <x:c r="N22" s="11" t="str">
        <x:v>Offer economics and annual unit volumes</x:v>
      </x:c>
      <x:c r="O22" s="11" t="str">
        <x:v>Offer economics and annual unit volumes</x:v>
      </x:c>
      <x:c r="P22" s="11" t="str">
        <x:v>Offer economics and annual unit volumes</x:v>
      </x:c>
      <x:c r="Q22" s="11" t="str">
        <x:v>Offer economics and annual unit volumes</x:v>
      </x:c>
    </x:row>
    <x:row r="23" ht="15" hidden="0" customHeight="1">
      <x:c r="A23" s="335" t="str">
        <x:v>Offer / scope profile</x:v>
      </x:c>
      <x:c r="B23" s="337" t="str">
        <x:v>Unit</x:v>
      </x:c>
      <x:c r="C23" s="337" t="str">
        <x:v>Internal planning price</x:v>
      </x:c>
      <x:c r="D23" s="337" t="str">
        <x:v>Consultant hours</x:v>
      </x:c>
      <x:c r="E23" s="337" t="str">
        <x:v>Offshore developer hours</x:v>
      </x:c>
      <x:c r="F23" s="337" t="str">
        <x:v>Direct non-labour</x:v>
      </x:c>
      <x:c r="G23" s="337" t="str">
        <x:v>Target GM</x:v>
      </x:c>
      <x:c r="H23" s="337" t="str">
        <x:v>Floor GM</x:v>
      </x:c>
      <x:c r="I23" s="337" t="str">
        <x:v>Cons Y1</x:v>
      </x:c>
      <x:c r="J23" s="337" t="str">
        <x:v>Cons Y2</x:v>
      </x:c>
      <x:c r="K23" s="337" t="str">
        <x:v>Cons Y3</x:v>
      </x:c>
      <x:c r="L23" s="337" t="str">
        <x:v>Base Y1</x:v>
      </x:c>
      <x:c r="M23" s="337" t="str">
        <x:v>Base Y2</x:v>
      </x:c>
      <x:c r="N23" s="337" t="str">
        <x:v>Base Y3</x:v>
      </x:c>
      <x:c r="O23" s="337" t="str">
        <x:v>Upside Y1</x:v>
      </x:c>
      <x:c r="P23" s="337" t="str">
        <x:v>Upside Y2</x:v>
      </x:c>
      <x:c r="Q23" s="339" t="str">
        <x:v>Upside Y3</x:v>
      </x:c>
    </x:row>
    <x:row r="24" ht="15" hidden="0" customHeight="1">
      <x:c r="A24" s="264" t="str">
        <x:v>Heutrix Diagnostics</x:v>
      </x:c>
      <x:c r="B24" s="264" t="str">
        <x:v>project</x:v>
      </x:c>
      <x:c r="C24" s="265" t="n">
        <x:v>3600</x:v>
      </x:c>
      <x:c r="D24" s="266" t="n">
        <x:v>10</x:v>
      </x:c>
      <x:c r="E24" s="266" t="n">
        <x:v>0</x:v>
      </x:c>
      <x:c r="F24" s="267" t="n">
        <x:v>100</x:v>
      </x:c>
      <x:c r="G24" s="268" t="n">
        <x:v>0.65</x:v>
      </x:c>
      <x:c r="H24" s="268" t="n">
        <x:v>0.6</x:v>
      </x:c>
      <x:c r="I24" s="259" t="n">
        <x:v>8</x:v>
      </x:c>
      <x:c r="J24" s="259" t="n">
        <x:v>12</x:v>
      </x:c>
      <x:c r="K24" s="259" t="n">
        <x:v>16</x:v>
      </x:c>
      <x:c r="L24" s="259" t="n">
        <x:v>12</x:v>
      </x:c>
      <x:c r="M24" s="259" t="n">
        <x:v>18</x:v>
      </x:c>
      <x:c r="N24" s="259" t="n">
        <x:v>24</x:v>
      </x:c>
      <x:c r="O24" s="259" t="n">
        <x:v>15</x:v>
      </x:c>
      <x:c r="P24" s="259" t="n">
        <x:v>24</x:v>
      </x:c>
      <x:c r="Q24" s="259" t="n">
        <x:v>30</x:v>
      </x:c>
    </x:row>
    <x:row r="25" ht="15" hidden="0" customHeight="1">
      <x:c r="A25" s="269" t="str">
        <x:v>Workflow Transformation — Standard</x:v>
      </x:c>
      <x:c r="B25" s="269" t="str">
        <x:v>project</x:v>
      </x:c>
      <x:c r="C25" s="270" t="n">
        <x:v>16000</x:v>
      </x:c>
      <x:c r="D25" s="271" t="n">
        <x:v>24</x:v>
      </x:c>
      <x:c r="E25" s="271" t="n">
        <x:v>26</x:v>
      </x:c>
      <x:c r="F25" s="272" t="n">
        <x:v>600</x:v>
      </x:c>
      <x:c r="G25" s="273" t="n">
        <x:v>0.65</x:v>
      </x:c>
      <x:c r="H25" s="273" t="n">
        <x:v>0.6</x:v>
      </x:c>
      <x:c r="I25" s="274" t="n">
        <x:v>3</x:v>
      </x:c>
      <x:c r="J25" s="274" t="n">
        <x:v>6</x:v>
      </x:c>
      <x:c r="K25" s="274" t="n">
        <x:v>9</x:v>
      </x:c>
      <x:c r="L25" s="274" t="n">
        <x:v>6</x:v>
      </x:c>
      <x:c r="M25" s="274" t="n">
        <x:v>10</x:v>
      </x:c>
      <x:c r="N25" s="274" t="n">
        <x:v>15</x:v>
      </x:c>
      <x:c r="O25" s="274" t="n">
        <x:v>8</x:v>
      </x:c>
      <x:c r="P25" s="274" t="n">
        <x:v>15</x:v>
      </x:c>
      <x:c r="Q25" s="274" t="n">
        <x:v>22</x:v>
      </x:c>
    </x:row>
    <x:row r="26" ht="15" hidden="0" customHeight="1">
      <x:c r="A26" s="269" t="str">
        <x:v>Workflow Transformation — Visibility</x:v>
      </x:c>
      <x:c r="B26" s="269" t="str">
        <x:v>project</x:v>
      </x:c>
      <x:c r="C26" s="270" t="n">
        <x:v>19500</x:v>
      </x:c>
      <x:c r="D26" s="271" t="n">
        <x:v>25</x:v>
      </x:c>
      <x:c r="E26" s="271" t="n">
        <x:v>35</x:v>
      </x:c>
      <x:c r="F26" s="272" t="n">
        <x:v>800</x:v>
      </x:c>
      <x:c r="G26" s="273" t="n">
        <x:v>0.65</x:v>
      </x:c>
      <x:c r="H26" s="273" t="n">
        <x:v>0.6</x:v>
      </x:c>
      <x:c r="I26" s="274" t="n">
        <x:v>1</x:v>
      </x:c>
      <x:c r="J26" s="274" t="n">
        <x:v>2</x:v>
      </x:c>
      <x:c r="K26" s="274" t="n">
        <x:v>4</x:v>
      </x:c>
      <x:c r="L26" s="274" t="n">
        <x:v>3</x:v>
      </x:c>
      <x:c r="M26" s="274" t="n">
        <x:v>5</x:v>
      </x:c>
      <x:c r="N26" s="274" t="n">
        <x:v>7</x:v>
      </x:c>
      <x:c r="O26" s="274" t="n">
        <x:v>4</x:v>
      </x:c>
      <x:c r="P26" s="274" t="n">
        <x:v>8</x:v>
      </x:c>
      <x:c r="Q26" s="274" t="n">
        <x:v>12</x:v>
      </x:c>
    </x:row>
    <x:row r="27" ht="15" hidden="0" customHeight="1">
      <x:c r="A27" s="269" t="str">
        <x:v>Heutrix AI Guardrails</x:v>
      </x:c>
      <x:c r="B27" s="269" t="str">
        <x:v>project</x:v>
      </x:c>
      <x:c r="C27" s="270" t="n">
        <x:v>10500</x:v>
      </x:c>
      <x:c r="D27" s="271" t="n">
        <x:v>28</x:v>
      </x:c>
      <x:c r="E27" s="271" t="n">
        <x:v>2</x:v>
      </x:c>
      <x:c r="F27" s="272" t="n">
        <x:v>300</x:v>
      </x:c>
      <x:c r="G27" s="273" t="n">
        <x:v>0.65</x:v>
      </x:c>
      <x:c r="H27" s="273" t="n">
        <x:v>0.6</x:v>
      </x:c>
      <x:c r="I27" s="274" t="n">
        <x:v>2</x:v>
      </x:c>
      <x:c r="J27" s="274" t="n">
        <x:v>3</x:v>
      </x:c>
      <x:c r="K27" s="274" t="n">
        <x:v>4</x:v>
      </x:c>
      <x:c r="L27" s="274" t="n">
        <x:v>3</x:v>
      </x:c>
      <x:c r="M27" s="274" t="n">
        <x:v>5</x:v>
      </x:c>
      <x:c r="N27" s="274" t="n">
        <x:v>6</x:v>
      </x:c>
      <x:c r="O27" s="274" t="n">
        <x:v>4</x:v>
      </x:c>
      <x:c r="P27" s="274" t="n">
        <x:v>6</x:v>
      </x:c>
      <x:c r="Q27" s="274" t="n">
        <x:v>8</x:v>
      </x:c>
    </x:row>
    <x:row r="28" ht="15" hidden="0" customHeight="1">
      <x:c r="A28" s="269" t="str">
        <x:v>Workflow Transformation — Expanded</x:v>
      </x:c>
      <x:c r="B28" s="269" t="str">
        <x:v>project</x:v>
      </x:c>
      <x:c r="C28" s="270" t="n">
        <x:v>33000</x:v>
      </x:c>
      <x:c r="D28" s="271" t="n">
        <x:v>40</x:v>
      </x:c>
      <x:c r="E28" s="271" t="n">
        <x:v>60</x:v>
      </x:c>
      <x:c r="F28" s="272" t="n">
        <x:v>1500</x:v>
      </x:c>
      <x:c r="G28" s="273" t="n">
        <x:v>0.65</x:v>
      </x:c>
      <x:c r="H28" s="273" t="n">
        <x:v>0.6</x:v>
      </x:c>
      <x:c r="I28" s="274" t="n">
        <x:v>0</x:v>
      </x:c>
      <x:c r="J28" s="274" t="n">
        <x:v>1</x:v>
      </x:c>
      <x:c r="K28" s="274" t="n">
        <x:v>2</x:v>
      </x:c>
      <x:c r="L28" s="274" t="n">
        <x:v>1</x:v>
      </x:c>
      <x:c r="M28" s="274" t="n">
        <x:v>2</x:v>
      </x:c>
      <x:c r="N28" s="274" t="n">
        <x:v>3</x:v>
      </x:c>
      <x:c r="O28" s="274" t="n">
        <x:v>2</x:v>
      </x:c>
      <x:c r="P28" s="274" t="n">
        <x:v>4</x:v>
      </x:c>
      <x:c r="Q28" s="274" t="n">
        <x:v>6</x:v>
      </x:c>
    </x:row>
    <x:row r="29" ht="15" hidden="0" customHeight="1">
      <x:c r="A29" s="275" t="str">
        <x:v>Stabilisation / support</x:v>
      </x:c>
      <x:c r="B29" s="275" t="str">
        <x:v>account-month</x:v>
      </x:c>
      <x:c r="C29" s="246" t="n">
        <x:v>1800</x:v>
      </x:c>
      <x:c r="D29" s="276" t="n">
        <x:v>1.5</x:v>
      </x:c>
      <x:c r="E29" s="276" t="n">
        <x:v>2.5</x:v>
      </x:c>
      <x:c r="F29" s="247" t="n">
        <x:v>50</x:v>
      </x:c>
      <x:c r="G29" s="277" t="n">
        <x:v>0.75</x:v>
      </x:c>
      <x:c r="H29" s="277" t="n">
        <x:v>0.65</x:v>
      </x:c>
      <x:c r="I29" s="278" t="n">
        <x:v>6</x:v>
      </x:c>
      <x:c r="J29" s="278" t="n">
        <x:v>24</x:v>
      </x:c>
      <x:c r="K29" s="278" t="n">
        <x:v>48</x:v>
      </x:c>
      <x:c r="L29" s="278" t="n">
        <x:v>18</x:v>
      </x:c>
      <x:c r="M29" s="278" t="n">
        <x:v>48</x:v>
      </x:c>
      <x:c r="N29" s="278" t="n">
        <x:v>84</x:v>
      </x:c>
      <x:c r="O29" s="278" t="n">
        <x:v>24</x:v>
      </x:c>
      <x:c r="P29" s="278" t="n">
        <x:v>72</x:v>
      </x:c>
      <x:c r="Q29" s="278" t="n">
        <x:v>144</x:v>
      </x:c>
    </x:row>
    <x:row r="30">
      <x:c r="A30" s="239"/>
      <x:c r="B30" s="239"/>
      <x:c r="C30" s="239"/>
      <x:c r="D30" s="239"/>
      <x:c r="E30" s="239"/>
      <x:c r="F30" s="239"/>
      <x:c r="G30" s="239"/>
      <x:c r="H30" s="239"/>
      <x:c r="I30" s="239"/>
      <x:c r="J30" s="239"/>
      <x:c r="K30" s="239"/>
      <x:c r="L30" s="239"/>
      <x:c r="M30" s="239"/>
      <x:c r="N30" s="239"/>
      <x:c r="O30" s="239"/>
      <x:c r="P30" s="239"/>
      <x:c r="Q30" s="239"/>
    </x:row>
    <x:row r="31">
      <x:c r="A31" s="239"/>
      <x:c r="B31" s="239"/>
      <x:c r="C31" s="239"/>
      <x:c r="D31" s="239"/>
      <x:c r="E31" s="239"/>
      <x:c r="F31" s="239"/>
      <x:c r="G31" s="239"/>
      <x:c r="H31" s="239"/>
      <x:c r="I31" s="239"/>
      <x:c r="J31" s="239"/>
      <x:c r="K31" s="239"/>
      <x:c r="L31" s="239"/>
      <x:c r="M31" s="239"/>
      <x:c r="N31" s="239"/>
      <x:c r="O31" s="239"/>
      <x:c r="P31" s="239"/>
      <x:c r="Q31" s="239"/>
    </x:row>
    <x:row r="32" ht="15" hidden="0" customHeight="1">
      <x:c r="A32" s="329" t="str">
        <x:v>Base operating-budget inputs</x:v>
      </x:c>
      <x:c r="B32" s="11" t="str">
        <x:v>Base operating-budget inputs</x:v>
      </x:c>
      <x:c r="C32" s="11" t="str">
        <x:v>Base operating-budget inputs</x:v>
      </x:c>
      <x:c r="D32" s="11" t="str">
        <x:v>Base operating-budget inputs</x:v>
      </x:c>
      <x:c r="E32" s="11" t="str">
        <x:v>Base operating-budget inputs</x:v>
      </x:c>
      <x:c r="F32" s="11" t="str">
        <x:v>Base operating-budget inputs</x:v>
      </x:c>
      <x:c r="G32" s="239"/>
      <x:c r="H32" s="329" t="str">
        <x:v>Scenario operating-expense multipliers</x:v>
      </x:c>
      <x:c r="I32" s="11" t="str">
        <x:v>Scenario operating-expense multipliers</x:v>
      </x:c>
      <x:c r="J32" s="11" t="str">
        <x:v>Scenario operating-expense multipliers</x:v>
      </x:c>
      <x:c r="K32" s="11" t="str">
        <x:v>Scenario operating-expense multipliers</x:v>
      </x:c>
      <x:c r="L32" s="239"/>
      <x:c r="M32" s="239"/>
      <x:c r="N32" s="239"/>
      <x:c r="O32" s="239"/>
      <x:c r="P32" s="239"/>
      <x:c r="Q32" s="239"/>
    </x:row>
    <x:row r="33" ht="15" hidden="0" customHeight="1">
      <x:c r="A33" s="335" t="str">
        <x:v>Category</x:v>
      </x:c>
      <x:c r="B33" s="337" t="str">
        <x:v>Year 1</x:v>
      </x:c>
      <x:c r="C33" s="337" t="str">
        <x:v>Year 2</x:v>
      </x:c>
      <x:c r="D33" s="337" t="str">
        <x:v>Year 3</x:v>
      </x:c>
      <x:c r="E33" s="337" t="str">
        <x:v>GST-creditable share</x:v>
      </x:c>
      <x:c r="F33" s="339" t="str">
        <x:v>Basis / scope</x:v>
      </x:c>
      <x:c r="G33" s="239"/>
      <x:c r="H33" s="335" t="str">
        <x:v>Scenario</x:v>
      </x:c>
      <x:c r="I33" s="337" t="str">
        <x:v>Year 1</x:v>
      </x:c>
      <x:c r="J33" s="337" t="str">
        <x:v>Year 2</x:v>
      </x:c>
      <x:c r="K33" s="339" t="str">
        <x:v>Year 3</x:v>
      </x:c>
      <x:c r="L33" s="239"/>
      <x:c r="M33" s="239"/>
      <x:c r="N33" s="239"/>
      <x:c r="O33" s="239"/>
      <x:c r="P33" s="239"/>
      <x:c r="Q33" s="239"/>
    </x:row>
    <x:row r="34" ht="40" hidden="0" customHeight="1">
      <x:c r="A34" s="245" t="str">
        <x:v>Owner non-delivery capacity allowance</x:v>
      </x:c>
      <x:c r="B34" s="279" t="n">
        <x:v>45000</x:v>
      </x:c>
      <x:c r="C34" s="280" t="n">
        <x:v>54000</x:v>
      </x:c>
      <x:c r="D34" s="280" t="n">
        <x:v>63000</x:v>
      </x:c>
      <x:c r="E34" s="281" t="n">
        <x:v>0</x:v>
      </x:c>
      <x:c r="F34" s="245" t="str">
        <x:v>Sales, admin, management and productisation; excludes direct delivery hours</x:v>
      </x:c>
      <x:c r="G34" s="239"/>
      <x:c r="H34" s="239" t="str">
        <x:v>Conservative</x:v>
      </x:c>
      <x:c r="I34" s="282" t="n">
        <x:v>0.85</x:v>
      </x:c>
      <x:c r="J34" s="277" t="n">
        <x:v>0.85</x:v>
      </x:c>
      <x:c r="K34" s="283" t="n">
        <x:v>0.85</x:v>
      </x:c>
      <x:c r="L34" s="239"/>
      <x:c r="M34" s="239"/>
      <x:c r="N34" s="239"/>
      <x:c r="O34" s="239"/>
      <x:c r="P34" s="239"/>
      <x:c r="Q34" s="239"/>
    </x:row>
    <x:row r="35" ht="40" hidden="0" customHeight="1">
      <x:c r="A35" s="245" t="str">
        <x:v>ASIC and registrations</x:v>
      </x:c>
      <x:c r="B35" s="284" t="n">
        <x:v>350</x:v>
      </x:c>
      <x:c r="C35" s="285" t="n">
        <x:v>365</x:v>
      </x:c>
      <x:c r="D35" s="285" t="n">
        <x:v>380</x:v>
      </x:c>
      <x:c r="E35" s="286" t="n">
        <x:v>0</x:v>
      </x:c>
      <x:c r="F35" s="245" t="str">
        <x:v>Allowance; verify current invoice and entity structure</x:v>
      </x:c>
      <x:c r="G35" s="239"/>
      <x:c r="H35" s="239" t="str">
        <x:v>Base</x:v>
      </x:c>
      <x:c r="I35" s="287" t="n">
        <x:v>1</x:v>
      </x:c>
      <x:c r="J35" s="288" t="n">
        <x:v>1</x:v>
      </x:c>
      <x:c r="K35" s="289" t="n">
        <x:v>1</x:v>
      </x:c>
      <x:c r="L35" s="239"/>
      <x:c r="M35" s="239"/>
      <x:c r="N35" s="239"/>
      <x:c r="O35" s="239"/>
      <x:c r="P35" s="239"/>
      <x:c r="Q35" s="239"/>
    </x:row>
    <x:row r="36" ht="40" hidden="0" customHeight="1">
      <x:c r="A36" s="245" t="str">
        <x:v>Accounting, bookkeeping, tax and BAS</x:v>
      </x:c>
      <x:c r="B36" s="284" t="n">
        <x:v>6000</x:v>
      </x:c>
      <x:c r="C36" s="285" t="n">
        <x:v>7500</x:v>
      </x:c>
      <x:c r="D36" s="285" t="n">
        <x:v>10000</x:v>
      </x:c>
      <x:c r="E36" s="286" t="n">
        <x:v>1</x:v>
      </x:c>
      <x:c r="F36" s="245" t="str">
        <x:v>Includes routine bookkeeping, BAS and annual accounts allowance</x:v>
      </x:c>
      <x:c r="G36" s="239"/>
      <x:c r="H36" s="239" t="str">
        <x:v>Upside</x:v>
      </x:c>
      <x:c r="I36" s="290" t="n">
        <x:v>1.2</x:v>
      </x:c>
      <x:c r="J36" s="268" t="n">
        <x:v>1.35</x:v>
      </x:c>
      <x:c r="K36" s="291" t="n">
        <x:v>1.45</x:v>
      </x:c>
      <x:c r="L36" s="239"/>
      <x:c r="M36" s="239"/>
      <x:c r="N36" s="239"/>
      <x:c r="O36" s="239"/>
      <x:c r="P36" s="239"/>
      <x:c r="Q36" s="239"/>
    </x:row>
    <x:row r="37" ht="40" hidden="0" customHeight="1">
      <x:c r="A37" s="245" t="str">
        <x:v>Legal, contracts and privacy review</x:v>
      </x:c>
      <x:c r="B37" s="284" t="n">
        <x:v>8000</x:v>
      </x:c>
      <x:c r="C37" s="285" t="n">
        <x:v>5000</x:v>
      </x:c>
      <x:c r="D37" s="285" t="n">
        <x:v>6000</x:v>
      </x:c>
      <x:c r="E37" s="286" t="n">
        <x:v>1</x:v>
      </x:c>
      <x:c r="F37" s="245" t="str">
        <x:v>Front-loaded legal review plus later updates</x:v>
      </x:c>
      <x:c r="G37" s="239"/>
      <x:c r="H37" s="239"/>
      <x:c r="I37" s="239"/>
      <x:c r="J37" s="239"/>
      <x:c r="K37" s="239"/>
      <x:c r="L37" s="239"/>
      <x:c r="M37" s="239"/>
      <x:c r="N37" s="239"/>
      <x:c r="O37" s="239"/>
      <x:c r="P37" s="239"/>
      <x:c r="Q37" s="239"/>
    </x:row>
    <x:row r="38" ht="40" hidden="0" customHeight="1">
      <x:c r="A38" s="245" t="str">
        <x:v>PI, cyber and public-liability insurance</x:v>
      </x:c>
      <x:c r="B38" s="284" t="n">
        <x:v>5000</x:v>
      </x:c>
      <x:c r="C38" s="285" t="n">
        <x:v>6500</x:v>
      </x:c>
      <x:c r="D38" s="285" t="n">
        <x:v>8000</x:v>
      </x:c>
      <x:c r="E38" s="286" t="n">
        <x:v>0.5</x:v>
      </x:c>
      <x:c r="F38" s="245" t="str">
        <x:v>Placeholder pending broker quotes and confirmed cover</x:v>
      </x:c>
      <x:c r="G38" s="239"/>
      <x:c r="H38" s="329" t="str">
        <x:v>Base quarterly seasonality</x:v>
      </x:c>
      <x:c r="I38" s="11" t="str">
        <x:v>Base quarterly seasonality</x:v>
      </x:c>
      <x:c r="J38" s="11" t="str">
        <x:v>Base quarterly seasonality</x:v>
      </x:c>
      <x:c r="K38" s="11" t="str">
        <x:v>Base quarterly seasonality</x:v>
      </x:c>
      <x:c r="L38" s="11" t="str">
        <x:v>Base quarterly seasonality</x:v>
      </x:c>
      <x:c r="M38" s="239"/>
      <x:c r="N38" s="239"/>
      <x:c r="O38" s="239"/>
      <x:c r="P38" s="239"/>
      <x:c r="Q38" s="239"/>
    </x:row>
    <x:row r="39" ht="40" hidden="0" customHeight="1">
      <x:c r="A39" s="245" t="str">
        <x:v>Business software, CRM, accounting and AI</x:v>
      </x:c>
      <x:c r="B39" s="284" t="n">
        <x:v>9000</x:v>
      </x:c>
      <x:c r="C39" s="285" t="n">
        <x:v>14400</x:v>
      </x:c>
      <x:c r="D39" s="285" t="n">
        <x:v>21600</x:v>
      </x:c>
      <x:c r="E39" s="286" t="n">
        <x:v>1</x:v>
      </x:c>
      <x:c r="F39" s="245" t="str">
        <x:v>Approved collaboration, sales and business systems</x:v>
      </x:c>
      <x:c r="G39" s="239"/>
      <x:c r="H39" s="335" t="str">
        <x:v>Year</x:v>
      </x:c>
      <x:c r="I39" s="337" t="str">
        <x:v>Q1</x:v>
      </x:c>
      <x:c r="J39" s="337" t="str">
        <x:v>Q2</x:v>
      </x:c>
      <x:c r="K39" s="337" t="str">
        <x:v>Q3</x:v>
      </x:c>
      <x:c r="L39" s="339" t="str">
        <x:v>Q4</x:v>
      </x:c>
      <x:c r="M39" s="239"/>
      <x:c r="N39" s="239"/>
      <x:c r="O39" s="239"/>
      <x:c r="P39" s="239"/>
      <x:c r="Q39" s="239"/>
    </x:row>
    <x:row r="40" ht="40" hidden="0" customHeight="1">
      <x:c r="A40" s="245" t="str">
        <x:v>Security, credentials and device controls</x:v>
      </x:c>
      <x:c r="B40" s="284" t="n">
        <x:v>4800</x:v>
      </x:c>
      <x:c r="C40" s="285" t="n">
        <x:v>7200</x:v>
      </x:c>
      <x:c r="D40" s="285" t="n">
        <x:v>10800</x:v>
      </x:c>
      <x:c r="E40" s="286" t="n">
        <x:v>1</x:v>
      </x:c>
      <x:c r="F40" s="245" t="str">
        <x:v>Password manager, endpoint, backup and access controls</x:v>
      </x:c>
      <x:c r="G40" s="239"/>
      <x:c r="H40" s="239" t="str">
        <x:v>Year 1</x:v>
      </x:c>
      <x:c r="I40" s="282" t="n">
        <x:v>0.18</x:v>
      </x:c>
      <x:c r="J40" s="277" t="n">
        <x:v>0.22</x:v>
      </x:c>
      <x:c r="K40" s="277" t="n">
        <x:v>0.27</x:v>
      </x:c>
      <x:c r="L40" s="283" t="n">
        <x:v>0.33</x:v>
      </x:c>
      <x:c r="M40" s="239"/>
      <x:c r="N40" s="239"/>
      <x:c r="O40" s="239"/>
      <x:c r="P40" s="239"/>
      <x:c r="Q40" s="239"/>
    </x:row>
    <x:row r="41" ht="40" hidden="0" customHeight="1">
      <x:c r="A41" s="245" t="str">
        <x:v>Cloud, sandboxes and monitoring</x:v>
      </x:c>
      <x:c r="B41" s="284" t="n">
        <x:v>3600</x:v>
      </x:c>
      <x:c r="C41" s="285" t="n">
        <x:v>6000</x:v>
      </x:c>
      <x:c r="D41" s="285" t="n">
        <x:v>12000</x:v>
      </x:c>
      <x:c r="E41" s="286" t="n">
        <x:v>1</x:v>
      </x:c>
      <x:c r="F41" s="245" t="str">
        <x:v>Non-project baseline environments and observability</x:v>
      </x:c>
      <x:c r="G41" s="239"/>
      <x:c r="H41" s="239" t="str">
        <x:v>Year 2</x:v>
      </x:c>
      <x:c r="I41" s="287" t="n">
        <x:v>0.22</x:v>
      </x:c>
      <x:c r="J41" s="288" t="n">
        <x:v>0.24</x:v>
      </x:c>
      <x:c r="K41" s="288" t="n">
        <x:v>0.26</x:v>
      </x:c>
      <x:c r="L41" s="289" t="n">
        <x:v>0.28</x:v>
      </x:c>
      <x:c r="M41" s="239"/>
      <x:c r="N41" s="239"/>
      <x:c r="O41" s="239"/>
      <x:c r="P41" s="239"/>
      <x:c r="Q41" s="239"/>
    </x:row>
    <x:row r="42" ht="40" hidden="0" customHeight="1">
      <x:c r="A42" s="245" t="str">
        <x:v>Sales and marketing</x:v>
      </x:c>
      <x:c r="B42" s="284" t="n">
        <x:v>18000</x:v>
      </x:c>
      <x:c r="C42" s="285" t="n">
        <x:v>30000</x:v>
      </x:c>
      <x:c r="D42" s="285" t="n">
        <x:v>45000</x:v>
      </x:c>
      <x:c r="E42" s="286" t="n">
        <x:v>1</x:v>
      </x:c>
      <x:c r="F42" s="245" t="str">
        <x:v>Content, events, selective paid activity and sales collateral</x:v>
      </x:c>
      <x:c r="G42" s="239"/>
      <x:c r="H42" s="239" t="str">
        <x:v>Year 3</x:v>
      </x:c>
      <x:c r="I42" s="290" t="n">
        <x:v>0.23</x:v>
      </x:c>
      <x:c r="J42" s="268" t="n">
        <x:v>0.24</x:v>
      </x:c>
      <x:c r="K42" s="268" t="n">
        <x:v>0.25</x:v>
      </x:c>
      <x:c r="L42" s="291" t="n">
        <x:v>0.28</x:v>
      </x:c>
      <x:c r="M42" s="239"/>
      <x:c r="N42" s="239"/>
      <x:c r="O42" s="239"/>
      <x:c r="P42" s="239"/>
      <x:c r="Q42" s="239"/>
    </x:row>
    <x:row r="43" ht="40" hidden="0" customHeight="1">
      <x:c r="A43" s="245" t="str">
        <x:v>Offshore onboarding and due diligence</x:v>
      </x:c>
      <x:c r="B43" s="284" t="n">
        <x:v>4000</x:v>
      </x:c>
      <x:c r="C43" s="285" t="n">
        <x:v>5000</x:v>
      </x:c>
      <x:c r="D43" s="285" t="n">
        <x:v>7000</x:v>
      </x:c>
      <x:c r="E43" s="286" t="n">
        <x:v>0.25</x:v>
      </x:c>
      <x:c r="F43" s="245" t="str">
        <x:v>Contracts, screening, privacy/security review and continuity setup</x:v>
      </x:c>
      <x:c r="G43" s="239"/>
      <x:c r="H43" s="239"/>
      <x:c r="I43" s="239"/>
      <x:c r="J43" s="239"/>
      <x:c r="K43" s="239"/>
      <x:c r="L43" s="239"/>
      <x:c r="M43" s="239"/>
      <x:c r="N43" s="239"/>
      <x:c r="O43" s="239"/>
      <x:c r="P43" s="239"/>
      <x:c r="Q43" s="239"/>
    </x:row>
    <x:row r="44" ht="40" hidden="0" customHeight="1">
      <x:c r="A44" s="245" t="str">
        <x:v>Training and memberships</x:v>
      </x:c>
      <x:c r="B44" s="284" t="n">
        <x:v>2400</x:v>
      </x:c>
      <x:c r="C44" s="285" t="n">
        <x:v>3500</x:v>
      </x:c>
      <x:c r="D44" s="285" t="n">
        <x:v>5000</x:v>
      </x:c>
      <x:c r="E44" s="286" t="n">
        <x:v>0.8</x:v>
      </x:c>
      <x:c r="F44" s="245" t="str">
        <x:v>Professional development and relevant memberships</x:v>
      </x:c>
      <x:c r="G44" s="239"/>
      <x:c r="H44" s="239"/>
      <x:c r="I44" s="239"/>
      <x:c r="J44" s="239"/>
      <x:c r="K44" s="239"/>
      <x:c r="L44" s="239"/>
      <x:c r="M44" s="239"/>
      <x:c r="N44" s="239"/>
      <x:c r="O44" s="239"/>
      <x:c r="P44" s="239"/>
      <x:c r="Q44" s="239"/>
    </x:row>
    <x:row r="45" ht="40" hidden="0" customHeight="1">
      <x:c r="A45" s="245" t="str">
        <x:v>Travel and unrecovered onsite cost</x:v>
      </x:c>
      <x:c r="B45" s="284" t="n">
        <x:v>3000</x:v>
      </x:c>
      <x:c r="C45" s="285" t="n">
        <x:v>5000</x:v>
      </x:c>
      <x:c r="D45" s="285" t="n">
        <x:v>8000</x:v>
      </x:c>
      <x:c r="E45" s="286" t="n">
        <x:v>0.5</x:v>
      </x:c>
      <x:c r="F45" s="245" t="str">
        <x:v>Domestic travel allowance; bill material client travel separately</x:v>
      </x:c>
      <x:c r="G45" s="239"/>
      <x:c r="H45" s="239"/>
      <x:c r="I45" s="239"/>
      <x:c r="J45" s="239"/>
      <x:c r="K45" s="239"/>
      <x:c r="L45" s="239"/>
      <x:c r="M45" s="239"/>
      <x:c r="N45" s="239"/>
      <x:c r="O45" s="239"/>
      <x:c r="P45" s="239"/>
      <x:c r="Q45" s="239"/>
    </x:row>
    <x:row r="46" ht="40" hidden="0" customHeight="1">
      <x:c r="A46" s="245" t="str">
        <x:v>Telecom, home office and coworking</x:v>
      </x:c>
      <x:c r="B46" s="284" t="n">
        <x:v>4800</x:v>
      </x:c>
      <x:c r="C46" s="285" t="n">
        <x:v>7200</x:v>
      </x:c>
      <x:c r="D46" s="285" t="n">
        <x:v>12000</x:v>
      </x:c>
      <x:c r="E46" s="286" t="n">
        <x:v>1</x:v>
      </x:c>
      <x:c r="F46" s="245" t="str">
        <x:v>Internet, mobile and flexible workspace allowance</x:v>
      </x:c>
      <x:c r="G46" s="239"/>
      <x:c r="H46" s="239"/>
      <x:c r="I46" s="239"/>
      <x:c r="J46" s="239"/>
      <x:c r="K46" s="239"/>
      <x:c r="L46" s="239"/>
      <x:c r="M46" s="239"/>
      <x:c r="N46" s="239"/>
      <x:c r="O46" s="239"/>
      <x:c r="P46" s="239"/>
      <x:c r="Q46" s="239"/>
    </x:row>
    <x:row r="47" ht="40" hidden="0" customHeight="1">
      <x:c r="A47" s="245" t="str">
        <x:v>Banking and administration fees</x:v>
      </x:c>
      <x:c r="B47" s="292" t="n">
        <x:v>1200</x:v>
      </x:c>
      <x:c r="C47" s="293" t="n">
        <x:v>1800</x:v>
      </x:c>
      <x:c r="D47" s="293" t="n">
        <x:v>3000</x:v>
      </x:c>
      <x:c r="E47" s="294" t="n">
        <x:v>0.5</x:v>
      </x:c>
      <x:c r="F47" s="245" t="str">
        <x:v>Bank fees, registered agent and miscellaneous administration</x:v>
      </x:c>
      <x:c r="G47" s="239"/>
      <x:c r="H47" s="239"/>
      <x:c r="I47" s="239"/>
      <x:c r="J47" s="239"/>
      <x:c r="K47" s="239"/>
      <x:c r="L47" s="239"/>
      <x:c r="M47" s="239"/>
      <x:c r="N47" s="239"/>
      <x:c r="O47" s="239"/>
      <x:c r="P47" s="239"/>
      <x:c r="Q47" s="239"/>
    </x:row>
  </x:sheetData>
  <x:mergeCells>
    <x:mergeCell ref="A1:Q1"/>
    <x:mergeCell ref="A2:Q3"/>
    <x:mergeCell ref="A5:F5"/>
    <x:mergeCell ref="A12:F12"/>
    <x:mergeCell ref="H5:M5"/>
    <x:mergeCell ref="A22:Q22"/>
    <x:mergeCell ref="A32:F32"/>
    <x:mergeCell ref="H32:K32"/>
    <x:mergeCell ref="H38:L38"/>
  </x:mergeCells>
  <x:pageMargins left="0.7" right="0.7" top="0.75" bottom="0.75" header="0.3" footer="0.3"/>
  <x:legacyDrawing xmlns:r="http://schemas.openxmlformats.org/officeDocument/2006/relationships" r:id="R24ee153ec5d74aa4"/>
</x:worksheet>
</file>

<file path=xl/worksheets/sheet3.xml><?xml version="1.0" encoding="utf-8"?>
<x:worksheet xmlns:x="http://schemas.openxmlformats.org/spreadsheetml/2006/main">
  <x:sheetViews>
    <x:sheetView showGridLines="0" workbookViewId="0"/>
  </x:sheetViews>
  <x:sheetFormatPr defaultRowHeight="15"/>
  <x:cols>
    <x:col min="1" max="1" width="46" hidden="0" customWidth="1"/>
    <x:col min="2" max="2" width="16" hidden="0" customWidth="1"/>
    <x:col min="3" max="3" width="14" hidden="0" customWidth="1"/>
    <x:col min="4" max="4" width="14" hidden="0" customWidth="1"/>
    <x:col min="5" max="5" width="14" hidden="0" customWidth="1"/>
    <x:col min="6" max="6" width="17" hidden="0" customWidth="1"/>
    <x:col min="7" max="7" width="12" hidden="0" customWidth="1"/>
    <x:col min="8" max="8" width="12" hidden="0" customWidth="1"/>
    <x:col min="9" max="9" width="12" hidden="0" customWidth="1"/>
    <x:col min="10" max="10" width="18" hidden="0" customWidth="1"/>
    <x:col min="11" max="11" width="18" hidden="0" customWidth="1"/>
    <x:col min="12" max="12" width="17" hidden="0" customWidth="1"/>
    <x:col min="13" max="13" width="19" hidden="0" customWidth="1"/>
    <x:col min="14" max="14" width="3" hidden="0" customWidth="1"/>
  </x:cols>
  <x:sheetData>
    <x:row r="1" ht="21.600000381469727" hidden="0" customHeight="1">
      <x:c r="A1" s="328" t="str">
        <x:v>Unit Economics — Consultant and Offshore Developer Model</x:v>
      </x:c>
      <x:c r="B1" s="4" t="str">
        <x:v>Unit Economics — Consultant and Offshore Developer Model</x:v>
      </x:c>
      <x:c r="C1" s="4" t="str">
        <x:v>Unit Economics — Consultant and Offshore Developer Model</x:v>
      </x:c>
      <x:c r="D1" s="4" t="str">
        <x:v>Unit Economics — Consultant and Offshore Developer Model</x:v>
      </x:c>
      <x:c r="E1" s="4" t="str">
        <x:v>Unit Economics — Consultant and Offshore Developer Model</x:v>
      </x:c>
      <x:c r="F1" s="4" t="str">
        <x:v>Unit Economics — Consultant and Offshore Developer Model</x:v>
      </x:c>
      <x:c r="G1" s="4" t="str">
        <x:v>Unit Economics — Consultant and Offshore Developer Model</x:v>
      </x:c>
      <x:c r="H1" s="4" t="str">
        <x:v>Unit Economics — Consultant and Offshore Developer Model</x:v>
      </x:c>
      <x:c r="I1" s="4" t="str">
        <x:v>Unit Economics — Consultant and Offshore Developer Model</x:v>
      </x:c>
      <x:c r="J1" s="4" t="str">
        <x:v>Unit Economics — Consultant and Offshore Developer Model</x:v>
      </x:c>
      <x:c r="K1" s="4" t="str">
        <x:v>Unit Economics — Consultant and Offshore Developer Model</x:v>
      </x:c>
      <x:c r="L1" s="4" t="str">
        <x:v>Unit Economics — Consultant and Offshore Developer Model</x:v>
      </x:c>
      <x:c r="M1" s="4" t="str">
        <x:v>Unit Economics — Consultant and Offshore Developer Model</x:v>
      </x:c>
      <x:c r="N1" s="4" t="str">
        <x:v>Unit Economics — Consultant and Offshore Developer Model</x:v>
      </x:c>
    </x:row>
    <x:row r="2">
      <x:c r="A2" s="244" t="str">
        <x:v>Direct cost includes role hours, a 25% offshore execution uplift, offer-specific non-labour cost, 10% delivery contingency and 1% payment/collection cost. The High case uses $100 consultant and $35 developer rates and is the pricing stress test.</x:v>
      </x:c>
      <x:c r="B2" s="244"/>
      <x:c r="C2" s="244"/>
      <x:c r="D2" s="244"/>
      <x:c r="E2" s="244"/>
      <x:c r="F2" s="244"/>
      <x:c r="G2" s="244"/>
      <x:c r="H2" s="244"/>
      <x:c r="I2" s="244"/>
      <x:c r="J2" s="244"/>
      <x:c r="K2" s="244"/>
      <x:c r="L2" s="244"/>
      <x:c r="M2" s="244"/>
      <x:c r="N2" s="244"/>
    </x:row>
    <x:row r="3">
      <x:c r="A3" s="244"/>
      <x:c r="B3" s="244"/>
      <x:c r="C3" s="244"/>
      <x:c r="D3" s="244"/>
      <x:c r="E3" s="244"/>
      <x:c r="F3" s="244"/>
      <x:c r="G3" s="244"/>
      <x:c r="H3" s="244"/>
      <x:c r="I3" s="244"/>
      <x:c r="J3" s="244"/>
      <x:c r="K3" s="244"/>
      <x:c r="L3" s="244"/>
      <x:c r="M3" s="244"/>
      <x:c r="N3" s="244"/>
    </x:row>
    <x:row r="4">
      <x:c r="A4" s="239"/>
      <x:c r="B4" s="239"/>
      <x:c r="C4" s="239"/>
      <x:c r="D4" s="239"/>
      <x:c r="E4" s="239"/>
      <x:c r="F4" s="239"/>
      <x:c r="G4" s="239"/>
      <x:c r="H4" s="239"/>
      <x:c r="I4" s="239"/>
      <x:c r="J4" s="239"/>
      <x:c r="K4" s="239"/>
      <x:c r="L4" s="239"/>
      <x:c r="M4" s="239"/>
      <x:c r="N4" s="239"/>
    </x:row>
    <x:row r="5" ht="15" hidden="0" customHeight="1">
      <x:c r="A5" s="335" t="str">
        <x:v>Offer</x:v>
      </x:c>
      <x:c r="B5" s="337" t="str">
        <x:v>Planning price</x:v>
      </x:c>
      <x:c r="C5" s="337" t="str">
        <x:v>Consultant h</x:v>
      </x:c>
      <x:c r="D5" s="337" t="str">
        <x:v>Developer h</x:v>
      </x:c>
      <x:c r="E5" s="337" t="str">
        <x:v>Non-labour</x:v>
      </x:c>
      <x:c r="F5" s="337" t="str">
        <x:v>Base direct cost</x:v>
      </x:c>
      <x:c r="G5" s="337" t="str">
        <x:v>Base GM</x:v>
      </x:c>
      <x:c r="H5" s="337" t="str">
        <x:v>Low GM</x:v>
      </x:c>
      <x:c r="I5" s="337" t="str">
        <x:v>High GM</x:v>
      </x:c>
      <x:c r="J5" s="337" t="str">
        <x:v>High-case floor price</x:v>
      </x:c>
      <x:c r="K5" s="337" t="str">
        <x:v>High-case target price</x:v>
      </x:c>
      <x:c r="L5" s="337" t="str">
        <x:v>Headroom vs target</x:v>
      </x:c>
      <x:c r="M5" s="339" t="str">
        <x:v>Status</x:v>
      </x:c>
      <x:c r="N5" s="239"/>
    </x:row>
    <x:row r="6" ht="15" hidden="0" customHeight="1">
      <x:c r="A6" s="241" t="str">
        <x:f>'Assumptions'!A24</x:f>
        <x:v>Heutrix Diagnostics</x:v>
      </x:c>
      <x:c r="B6" s="242" t="n">
        <x:f>'Assumptions'!C24</x:f>
        <x:v>3600</x:v>
      </x:c>
      <x:c r="C6" s="295" t="n">
        <x:f>'Assumptions'!D24</x:f>
        <x:v>10</x:v>
      </x:c>
      <x:c r="D6" s="295" t="n">
        <x:f>'Assumptions'!E24</x:f>
        <x:v>0</x:v>
      </x:c>
      <x:c r="E6" s="242" t="n">
        <x:f>'Assumptions'!F24</x:f>
        <x:v>100</x:v>
      </x:c>
      <x:c r="F6" s="242" t="n">
        <x:f>((C6*'Assumptions'!C7)+(D6*'Assumptions'!C8*(1+'Assumptions'!$B$14))+E6)*(1+'Assumptions'!$B$15)+B6*'Assumptions'!$B$16</x:f>
        <x:v>1136</x:v>
      </x:c>
      <x:c r="G6" s="243" t="n">
        <x:f>1-F6/B6</x:f>
        <x:v>0.6844444444444444</x:v>
      </x:c>
      <x:c r="H6" s="243" t="n">
        <x:f>1-(((C6*'Assumptions'!B7)+(D6*'Assumptions'!B8*(1+'Assumptions'!$B$14))+E6)*(1+'Assumptions'!$B$15)+B6*'Assumptions'!$B$16)/B6</x:f>
        <x:v>0.7150000000000001</x:v>
      </x:c>
      <x:c r="I6" s="243" t="n">
        <x:f>1-(((C6*'Assumptions'!D7)+(D6*'Assumptions'!D8*(1+'Assumptions'!$B$14))+E6)*(1+'Assumptions'!$B$15)+B6*'Assumptions'!$B$16)/B6</x:f>
        <x:v>0.653888888888889</x:v>
      </x:c>
      <x:c r="J6" s="242" t="n">
        <x:f>((C6*'Assumptions'!D7)+(D6*'Assumptions'!D8*(1+'Assumptions'!$B$14))+E6)*(1+'Assumptions'!$B$15)/(1-'Assumptions'!H24-'Assumptions'!$B$16)</x:f>
        <x:v>3102.5641025641025</x:v>
      </x:c>
      <x:c r="K6" s="242" t="n">
        <x:f>((C6*'Assumptions'!D7)+(D6*'Assumptions'!D8*(1+'Assumptions'!$B$14))+E6)*(1+'Assumptions'!$B$15)/(1-'Assumptions'!G24-'Assumptions'!$B$16)</x:f>
        <x:v>3558.823529411765</x:v>
      </x:c>
      <x:c r="L6" s="242" t="n">
        <x:f>B6-K6</x:f>
        <x:v>41.176470588235134</x:v>
      </x:c>
      <x:c r="M6" s="241" t="str">
        <x:f>IF(I6&gt;='Assumptions'!G24,"Clears target",IF(I6&gt;='Assumptions'!H24,"Floor only","Reprice / re-scope"))</x:f>
        <x:v>Clears target</x:v>
      </x:c>
      <x:c r="N6" s="239"/>
    </x:row>
    <x:row r="7" ht="15" hidden="0" customHeight="1">
      <x:c r="A7" s="241" t="str">
        <x:f>'Assumptions'!A25</x:f>
        <x:v>Workflow Transformation — Standard</x:v>
      </x:c>
      <x:c r="B7" s="242" t="n">
        <x:f>'Assumptions'!C25</x:f>
        <x:v>16000</x:v>
      </x:c>
      <x:c r="C7" s="295" t="n">
        <x:f>'Assumptions'!D25</x:f>
        <x:v>24</x:v>
      </x:c>
      <x:c r="D7" s="295" t="n">
        <x:f>'Assumptions'!E25</x:f>
        <x:v>26</x:v>
      </x:c>
      <x:c r="E7" s="242" t="n">
        <x:f>'Assumptions'!F25</x:f>
        <x:v>600</x:v>
      </x:c>
      <x:c r="F7" s="242" t="n">
        <x:f>((C7*'Assumptions'!C7)+(D7*'Assumptions'!C8*(1+'Assumptions'!$B$14))+E7)*(1+'Assumptions'!$B$15)+B7*'Assumptions'!$B$16</x:f>
        <x:v>4357.875</x:v>
      </x:c>
      <x:c r="G7" s="243" t="n">
        <x:f>1-F7/B7</x:f>
        <x:v>0.7276328125</x:v>
      </x:c>
      <x:c r="H7" s="243" t="n">
        <x:f>1-(((C7*'Assumptions'!B7)+(D7*'Assumptions'!B8*(1+'Assumptions'!$B$14))+E7)*(1+'Assumptions'!$B$15)+B7*'Assumptions'!$B$16)/B7</x:f>
        <x:v>0.74971875</x:v>
      </x:c>
      <x:c r="I7" s="243" t="n">
        <x:f>1-(((C7*'Assumptions'!D7)+(D7*'Assumptions'!D8*(1+'Assumptions'!$B$14))+E7)*(1+'Assumptions'!$B$15)+B7*'Assumptions'!$B$16)/B7</x:f>
        <x:v>0.705546875</x:v>
      </x:c>
      <x:c r="J7" s="242" t="n">
        <x:f>((C7*'Assumptions'!D7)+(D7*'Assumptions'!D8*(1+'Assumptions'!$B$14))+E7)*(1+'Assumptions'!$B$15)/(1-'Assumptions'!H25-'Assumptions'!$B$16)</x:f>
        <x:v>11669.871794871795</x:v>
      </x:c>
      <x:c r="K7" s="242" t="n">
        <x:f>((C7*'Assumptions'!D7)+(D7*'Assumptions'!D8*(1+'Assumptions'!$B$14))+E7)*(1+'Assumptions'!$B$15)/(1-'Assumptions'!G25-'Assumptions'!$B$16)</x:f>
        <x:v>13386.029411764706</x:v>
      </x:c>
      <x:c r="L7" s="242" t="n">
        <x:f>B7-K7</x:f>
        <x:v>2613.9705882352937</x:v>
      </x:c>
      <x:c r="M7" s="241" t="str">
        <x:f>IF(I7&gt;='Assumptions'!G25,"Clears target",IF(I7&gt;='Assumptions'!H25,"Floor only","Reprice / re-scope"))</x:f>
        <x:v>Clears target</x:v>
      </x:c>
      <x:c r="N7" s="239"/>
    </x:row>
    <x:row r="8" ht="15" hidden="0" customHeight="1">
      <x:c r="A8" s="241" t="str">
        <x:f>'Assumptions'!A26</x:f>
        <x:v>Workflow Transformation — Visibility</x:v>
      </x:c>
      <x:c r="B8" s="242" t="n">
        <x:f>'Assumptions'!C26</x:f>
        <x:v>19500</x:v>
      </x:c>
      <x:c r="C8" s="295" t="n">
        <x:f>'Assumptions'!D26</x:f>
        <x:v>25</x:v>
      </x:c>
      <x:c r="D8" s="295" t="n">
        <x:f>'Assumptions'!E26</x:f>
        <x:v>35</x:v>
      </x:c>
      <x:c r="E8" s="242" t="n">
        <x:f>'Assumptions'!F26</x:f>
        <x:v>800</x:v>
      </x:c>
      <x:c r="F8" s="242" t="n">
        <x:f>((C8*'Assumptions'!C7)+(D8*'Assumptions'!C8*(1+'Assumptions'!$B$14))+E8)*(1+'Assumptions'!$B$15)+B8*'Assumptions'!$B$16</x:f>
        <x:v>5114.0625</x:v>
      </x:c>
      <x:c r="G8" s="243" t="n">
        <x:f>1-F8/B8</x:f>
        <x:v>0.7377403846153846</x:v>
      </x:c>
      <x:c r="H8" s="243" t="n">
        <x:f>1-(((C8*'Assumptions'!B7)+(D8*'Assumptions'!B8*(1+'Assumptions'!$B$14))+E8)*(1+'Assumptions'!$B$15)+B8*'Assumptions'!$B$16)/B8</x:f>
        <x:v>0.7580128205128205</x:v>
      </x:c>
      <x:c r="I8" s="243" t="n">
        <x:f>1-(((C8*'Assumptions'!D7)+(D8*'Assumptions'!D8*(1+'Assumptions'!$B$14))+E8)*(1+'Assumptions'!$B$15)+B8*'Assumptions'!$B$16)/B8</x:f>
        <x:v>0.7174679487179487</x:v>
      </x:c>
      <x:c r="J8" s="242" t="n">
        <x:f>((C8*'Assumptions'!D7)+(D8*'Assumptions'!D8*(1+'Assumptions'!$B$14))+E8)*(1+'Assumptions'!$B$15)/(1-'Assumptions'!H26-'Assumptions'!$B$16)</x:f>
        <x:v>13626.602564102564</x:v>
      </x:c>
      <x:c r="K8" s="242" t="n">
        <x:f>((C8*'Assumptions'!D7)+(D8*'Assumptions'!D8*(1+'Assumptions'!$B$14))+E8)*(1+'Assumptions'!$B$15)/(1-'Assumptions'!G26-'Assumptions'!$B$16)</x:f>
        <x:v>15630.514705882355</x:v>
      </x:c>
      <x:c r="L8" s="242" t="n">
        <x:f>B8-K8</x:f>
        <x:v>3869.485294117645</x:v>
      </x:c>
      <x:c r="M8" s="241" t="str">
        <x:f>IF(I8&gt;='Assumptions'!G26,"Clears target",IF(I8&gt;='Assumptions'!H26,"Floor only","Reprice / re-scope"))</x:f>
        <x:v>Clears target</x:v>
      </x:c>
      <x:c r="N8" s="239"/>
    </x:row>
    <x:row r="9" ht="15" hidden="0" customHeight="1">
      <x:c r="A9" s="241" t="str">
        <x:f>'Assumptions'!A27</x:f>
        <x:v>Heutrix AI Guardrails</x:v>
      </x:c>
      <x:c r="B9" s="242" t="n">
        <x:f>'Assumptions'!C27</x:f>
        <x:v>10500</x:v>
      </x:c>
      <x:c r="C9" s="295" t="n">
        <x:f>'Assumptions'!D27</x:f>
        <x:v>28</x:v>
      </x:c>
      <x:c r="D9" s="295" t="n">
        <x:f>'Assumptions'!E27</x:f>
        <x:v>2</x:v>
      </x:c>
      <x:c r="E9" s="242" t="n">
        <x:f>'Assumptions'!F27</x:f>
        <x:v>300</x:v>
      </x:c>
      <x:c r="F9" s="242" t="n">
        <x:f>((C9*'Assumptions'!C7)+(D9*'Assumptions'!C8*(1+'Assumptions'!$B$14))+E9)*(1+'Assumptions'!$B$15)+B9*'Assumptions'!$B$16</x:f>
        <x:v>3296.3750000000005</x:v>
      </x:c>
      <x:c r="G9" s="243" t="n">
        <x:f>1-F9/B9</x:f>
        <x:v>0.6860595238095237</x:v>
      </x:c>
      <x:c r="H9" s="243" t="n">
        <x:f>1-(((C9*'Assumptions'!B7)+(D9*'Assumptions'!B8*(1+'Assumptions'!$B$14))+E9)*(1+'Assumptions'!$B$15)+B9*'Assumptions'!$B$16)/B9</x:f>
        <x:v>0.716047619047619</x:v>
      </x:c>
      <x:c r="I9" s="243" t="n">
        <x:f>1-(((C9*'Assumptions'!D7)+(D9*'Assumptions'!D8*(1+'Assumptions'!$B$14))+E9)*(1+'Assumptions'!$B$15)+B9*'Assumptions'!$B$16)/B9</x:f>
        <x:v>0.6560714285714285</x:v>
      </x:c>
      <x:c r="J9" s="242" t="n">
        <x:f>((C9*'Assumptions'!D7)+(D9*'Assumptions'!D8*(1+'Assumptions'!$B$14))+E9)*(1+'Assumptions'!$B$15)/(1-'Assumptions'!H27-'Assumptions'!$B$16)</x:f>
        <x:v>8990.384615384617</x:v>
      </x:c>
      <x:c r="K9" s="242" t="n">
        <x:f>((C9*'Assumptions'!D7)+(D9*'Assumptions'!D8*(1+'Assumptions'!$B$14))+E9)*(1+'Assumptions'!$B$15)/(1-'Assumptions'!G27-'Assumptions'!$B$16)</x:f>
        <x:v>10312.500000000002</x:v>
      </x:c>
      <x:c r="L9" s="242" t="n">
        <x:f>B9-K9</x:f>
        <x:v>187.49999999999818</x:v>
      </x:c>
      <x:c r="M9" s="241" t="str">
        <x:f>IF(I9&gt;='Assumptions'!G27,"Clears target",IF(I9&gt;='Assumptions'!H27,"Floor only","Reprice / re-scope"))</x:f>
        <x:v>Clears target</x:v>
      </x:c>
      <x:c r="N9" s="239"/>
    </x:row>
    <x:row r="10" ht="15" hidden="0" customHeight="1">
      <x:c r="A10" s="241" t="str">
        <x:f>'Assumptions'!A28</x:f>
        <x:v>Workflow Transformation — Expanded</x:v>
      </x:c>
      <x:c r="B10" s="242" t="n">
        <x:f>'Assumptions'!C28</x:f>
        <x:v>33000</x:v>
      </x:c>
      <x:c r="C10" s="295" t="n">
        <x:f>'Assumptions'!D28</x:f>
        <x:v>40</x:v>
      </x:c>
      <x:c r="D10" s="295" t="n">
        <x:f>'Assumptions'!E28</x:f>
        <x:v>60</x:v>
      </x:c>
      <x:c r="E10" s="242" t="n">
        <x:f>'Assumptions'!F28</x:f>
        <x:v>1500</x:v>
      </x:c>
      <x:c r="F10" s="242" t="n">
        <x:f>((C10*'Assumptions'!C7)+(D10*'Assumptions'!C8*(1+'Assumptions'!$B$14))+E10)*(1+'Assumptions'!$B$15)+B10*'Assumptions'!$B$16</x:f>
        <x:v>8621.25</x:v>
      </x:c>
      <x:c r="G10" s="243" t="n">
        <x:f>1-F10/B10</x:f>
        <x:v>0.73875</x:v>
      </x:c>
      <x:c r="H10" s="243" t="n">
        <x:f>1-(((C10*'Assumptions'!B7)+(D10*'Assumptions'!B8*(1+'Assumptions'!$B$14))+E10)*(1+'Assumptions'!$B$15)+B10*'Assumptions'!$B$16)/B10</x:f>
        <x:v>0.7583333333333333</x:v>
      </x:c>
      <x:c r="I10" s="243" t="n">
        <x:f>1-(((C10*'Assumptions'!D7)+(D10*'Assumptions'!D8*(1+'Assumptions'!$B$14))+E10)*(1+'Assumptions'!$B$15)+B10*'Assumptions'!$B$16)/B10</x:f>
        <x:v>0.7191666666666667</x:v>
      </x:c>
      <x:c r="J10" s="242" t="n">
        <x:f>((C10*'Assumptions'!D7)+(D10*'Assumptions'!D8*(1+'Assumptions'!$B$14))+E10)*(1+'Assumptions'!$B$15)/(1-'Assumptions'!H28-'Assumptions'!$B$16)</x:f>
        <x:v>22916.666666666664</x:v>
      </x:c>
      <x:c r="K10" s="242" t="n">
        <x:f>((C10*'Assumptions'!D7)+(D10*'Assumptions'!D8*(1+'Assumptions'!$B$14))+E10)*(1+'Assumptions'!$B$15)/(1-'Assumptions'!G28-'Assumptions'!$B$16)</x:f>
        <x:v>26286.764705882357</x:v>
      </x:c>
      <x:c r="L10" s="242" t="n">
        <x:f>B10-K10</x:f>
        <x:v>6713.235294117643</x:v>
      </x:c>
      <x:c r="M10" s="241" t="str">
        <x:f>IF(I10&gt;='Assumptions'!G28,"Clears target",IF(I10&gt;='Assumptions'!H28,"Floor only","Reprice / re-scope"))</x:f>
        <x:v>Clears target</x:v>
      </x:c>
      <x:c r="N10" s="239"/>
    </x:row>
    <x:row r="11" ht="15" hidden="0" customHeight="1">
      <x:c r="A11" s="241" t="str">
        <x:f>'Assumptions'!A29</x:f>
        <x:v>Stabilisation / support</x:v>
      </x:c>
      <x:c r="B11" s="242" t="n">
        <x:f>'Assumptions'!C29</x:f>
        <x:v>1800</x:v>
      </x:c>
      <x:c r="C11" s="295" t="n">
        <x:f>'Assumptions'!D29</x:f>
        <x:v>1.5</x:v>
      </x:c>
      <x:c r="D11" s="295" t="n">
        <x:f>'Assumptions'!E29</x:f>
        <x:v>2.5</x:v>
      </x:c>
      <x:c r="E11" s="242" t="n">
        <x:f>'Assumptions'!F29</x:f>
        <x:v>50</x:v>
      </x:c>
      <x:c r="F11" s="242" t="n">
        <x:f>((C11*'Assumptions'!C7)+(D11*'Assumptions'!C8*(1+'Assumptions'!$B$14))+E11)*(1+'Assumptions'!$B$15)+B11*'Assumptions'!$B$16</x:f>
        <x:v>333.21875</x:v>
      </x:c>
      <x:c r="G11" s="243" t="n">
        <x:f>1-F11/B11</x:f>
        <x:v>0.8148784722222222</x:v>
      </x:c>
      <x:c r="H11" s="243" t="n">
        <x:f>1-(((C11*'Assumptions'!B7)+(D11*'Assumptions'!B8*(1+'Assumptions'!$B$14))+E11)*(1+'Assumptions'!$B$15)+B11*'Assumptions'!$B$16)/B11</x:f>
        <x:v>0.8288194444444444</x:v>
      </x:c>
      <x:c r="I11" s="243" t="n">
        <x:f>1-(((C11*'Assumptions'!D7)+(D11*'Assumptions'!D8*(1+'Assumptions'!$B$14))+E11)*(1+'Assumptions'!$B$15)+B11*'Assumptions'!$B$16)/B11</x:f>
        <x:v>0.8009375</x:v>
      </x:c>
      <x:c r="J11" s="242" t="n">
        <x:f>((C11*'Assumptions'!D7)+(D11*'Assumptions'!D8*(1+'Assumptions'!$B$14))+E11)*(1+'Assumptions'!$B$15)/(1-'Assumptions'!H29-'Assumptions'!$B$16)</x:f>
        <x:v>1000.9191176470589</x:v>
      </x:c>
      <x:c r="K11" s="242" t="n">
        <x:f>((C11*'Assumptions'!D7)+(D11*'Assumptions'!D8*(1+'Assumptions'!$B$14))+E11)*(1+'Assumptions'!$B$15)/(1-'Assumptions'!G29-'Assumptions'!$B$16)</x:f>
        <x:v>1417.96875</x:v>
      </x:c>
      <x:c r="L11" s="242" t="n">
        <x:f>B11-K11</x:f>
        <x:v>382.03125</x:v>
      </x:c>
      <x:c r="M11" s="241" t="str">
        <x:f>IF(I11&gt;='Assumptions'!G29,"Clears target",IF(I11&gt;='Assumptions'!H29,"Floor only","Reprice / re-scope"))</x:f>
        <x:v>Clears target</x:v>
      </x:c>
      <x:c r="N11" s="239"/>
    </x:row>
    <x:row r="12">
      <x:c r="A12" s="239"/>
      <x:c r="B12" s="239"/>
      <x:c r="C12" s="239"/>
      <x:c r="D12" s="239"/>
      <x:c r="E12" s="239"/>
      <x:c r="F12" s="239"/>
      <x:c r="G12" s="239"/>
      <x:c r="H12" s="239"/>
      <x:c r="I12" s="239"/>
      <x:c r="J12" s="239"/>
      <x:c r="K12" s="239"/>
      <x:c r="L12" s="239"/>
      <x:c r="M12" s="239"/>
      <x:c r="N12" s="239"/>
    </x:row>
    <x:row r="13">
      <x:c r="A13" s="239"/>
      <x:c r="B13" s="239"/>
      <x:c r="C13" s="239"/>
      <x:c r="D13" s="239"/>
      <x:c r="E13" s="239"/>
      <x:c r="F13" s="239"/>
      <x:c r="G13" s="239"/>
      <x:c r="H13" s="239"/>
      <x:c r="I13" s="239"/>
      <x:c r="J13" s="239"/>
      <x:c r="K13" s="239"/>
      <x:c r="L13" s="239"/>
      <x:c r="M13" s="239"/>
      <x:c r="N13" s="239"/>
    </x:row>
    <x:row r="14" ht="15" hidden="0" customHeight="1">
      <x:c r="A14" s="329" t="str">
        <x:v>Gross-margin sensitivity</x:v>
      </x:c>
      <x:c r="B14" s="11" t="str">
        <x:v>Gross-margin sensitivity</x:v>
      </x:c>
      <x:c r="C14" s="11" t="str">
        <x:v>Gross-margin sensitivity</x:v>
      </x:c>
      <x:c r="D14" s="11" t="str">
        <x:v>Gross-margin sensitivity</x:v>
      </x:c>
      <x:c r="E14" s="239"/>
      <x:c r="F14" s="239"/>
      <x:c r="G14" s="239"/>
      <x:c r="H14" s="239"/>
      <x:c r="I14" s="239"/>
      <x:c r="J14" s="239"/>
      <x:c r="K14" s="239"/>
      <x:c r="L14" s="239"/>
      <x:c r="M14" s="239"/>
      <x:c r="N14" s="239"/>
    </x:row>
    <x:row r="15" ht="15" hidden="0" customHeight="1">
      <x:c r="A15" s="335" t="str">
        <x:v>Offer</x:v>
      </x:c>
      <x:c r="B15" s="337" t="str">
        <x:v>Low rates</x:v>
      </x:c>
      <x:c r="C15" s="337" t="str">
        <x:v>Base rates</x:v>
      </x:c>
      <x:c r="D15" s="339" t="str">
        <x:v>High rates</x:v>
      </x:c>
      <x:c r="E15" s="239"/>
      <x:c r="F15" s="239"/>
      <x:c r="G15" s="239"/>
      <x:c r="H15" s="239"/>
      <x:c r="I15" s="239"/>
      <x:c r="J15" s="239"/>
      <x:c r="K15" s="239"/>
      <x:c r="L15" s="239"/>
      <x:c r="M15" s="239"/>
      <x:c r="N15" s="239"/>
    </x:row>
    <x:row r="16" ht="15" hidden="0" customHeight="1">
      <x:c r="A16" s="296" t="str">
        <x:v>Diagnostics</x:v>
      </x:c>
      <x:c r="B16" s="297" t="n">
        <x:f>H6</x:f>
        <x:v>0.7150000000000001</x:v>
      </x:c>
      <x:c r="C16" s="297" t="n">
        <x:f>G6</x:f>
        <x:v>0.6844444444444444</x:v>
      </x:c>
      <x:c r="D16" s="297" t="n">
        <x:f>I6</x:f>
        <x:v>0.653888888888889</x:v>
      </x:c>
      <x:c r="E16" s="239"/>
      <x:c r="F16" s="239"/>
      <x:c r="G16" s="239"/>
      <x:c r="H16" s="239"/>
      <x:c r="I16" s="239"/>
      <x:c r="J16" s="239"/>
      <x:c r="K16" s="239"/>
      <x:c r="L16" s="239"/>
      <x:c r="M16" s="239"/>
      <x:c r="N16" s="239"/>
    </x:row>
    <x:row r="17" ht="15" hidden="0" customHeight="1">
      <x:c r="A17" s="296" t="str">
        <x:v>Standard</x:v>
      </x:c>
      <x:c r="B17" s="297" t="n">
        <x:f>H7</x:f>
        <x:v>0.74971875</x:v>
      </x:c>
      <x:c r="C17" s="297" t="n">
        <x:f>G7</x:f>
        <x:v>0.7276328125</x:v>
      </x:c>
      <x:c r="D17" s="297" t="n">
        <x:f>I7</x:f>
        <x:v>0.705546875</x:v>
      </x:c>
      <x:c r="E17" s="239"/>
      <x:c r="F17" s="239"/>
      <x:c r="G17" s="239"/>
      <x:c r="H17" s="239"/>
      <x:c r="I17" s="239"/>
      <x:c r="J17" s="239"/>
      <x:c r="K17" s="239"/>
      <x:c r="L17" s="239"/>
      <x:c r="M17" s="239"/>
      <x:c r="N17" s="239"/>
    </x:row>
    <x:row r="18" ht="15" hidden="0" customHeight="1">
      <x:c r="A18" s="296" t="str">
        <x:v>Visibility</x:v>
      </x:c>
      <x:c r="B18" s="297" t="n">
        <x:f>H8</x:f>
        <x:v>0.7580128205128205</x:v>
      </x:c>
      <x:c r="C18" s="297" t="n">
        <x:f>G8</x:f>
        <x:v>0.7377403846153846</x:v>
      </x:c>
      <x:c r="D18" s="297" t="n">
        <x:f>I8</x:f>
        <x:v>0.7174679487179487</x:v>
      </x:c>
      <x:c r="E18" s="239"/>
      <x:c r="F18" s="239"/>
      <x:c r="G18" s="239"/>
      <x:c r="H18" s="239"/>
      <x:c r="I18" s="239"/>
      <x:c r="J18" s="239"/>
      <x:c r="K18" s="239"/>
      <x:c r="L18" s="239"/>
      <x:c r="M18" s="239"/>
      <x:c r="N18" s="239"/>
    </x:row>
    <x:row r="19" ht="15" hidden="0" customHeight="1">
      <x:c r="A19" s="296" t="str">
        <x:v>AI Guardrails</x:v>
      </x:c>
      <x:c r="B19" s="297" t="n">
        <x:f>H9</x:f>
        <x:v>0.716047619047619</x:v>
      </x:c>
      <x:c r="C19" s="297" t="n">
        <x:f>G9</x:f>
        <x:v>0.6860595238095237</x:v>
      </x:c>
      <x:c r="D19" s="297" t="n">
        <x:f>I9</x:f>
        <x:v>0.6560714285714285</x:v>
      </x:c>
      <x:c r="E19" s="239"/>
      <x:c r="F19" s="239"/>
      <x:c r="G19" s="239"/>
      <x:c r="H19" s="239"/>
      <x:c r="I19" s="239"/>
      <x:c r="J19" s="239"/>
      <x:c r="K19" s="239"/>
      <x:c r="L19" s="239"/>
      <x:c r="M19" s="239"/>
      <x:c r="N19" s="239"/>
    </x:row>
    <x:row r="20" ht="15" hidden="0" customHeight="1">
      <x:c r="A20" s="296" t="str">
        <x:v>Expanded</x:v>
      </x:c>
      <x:c r="B20" s="297" t="n">
        <x:f>H10</x:f>
        <x:v>0.7583333333333333</x:v>
      </x:c>
      <x:c r="C20" s="297" t="n">
        <x:f>G10</x:f>
        <x:v>0.73875</x:v>
      </x:c>
      <x:c r="D20" s="297" t="n">
        <x:f>I10</x:f>
        <x:v>0.7191666666666667</x:v>
      </x:c>
      <x:c r="E20" s="239"/>
      <x:c r="F20" s="239"/>
      <x:c r="G20" s="239"/>
      <x:c r="H20" s="239"/>
      <x:c r="I20" s="239"/>
      <x:c r="J20" s="239"/>
      <x:c r="K20" s="239"/>
      <x:c r="L20" s="239"/>
      <x:c r="M20" s="239"/>
      <x:c r="N20" s="239"/>
    </x:row>
    <x:row r="21" ht="15" hidden="0" customHeight="1">
      <x:c r="A21" s="296" t="str">
        <x:v>Support</x:v>
      </x:c>
      <x:c r="B21" s="297" t="n">
        <x:f>H11</x:f>
        <x:v>0.8288194444444444</x:v>
      </x:c>
      <x:c r="C21" s="297" t="n">
        <x:f>G11</x:f>
        <x:v>0.8148784722222222</x:v>
      </x:c>
      <x:c r="D21" s="297" t="n">
        <x:f>I11</x:f>
        <x:v>0.8009375</x:v>
      </x:c>
      <x:c r="E21" s="239"/>
      <x:c r="F21" s="239"/>
      <x:c r="G21" s="239"/>
      <x:c r="H21" s="239"/>
      <x:c r="I21" s="239"/>
      <x:c r="J21" s="239"/>
      <x:c r="K21" s="239"/>
      <x:c r="L21" s="239"/>
      <x:c r="M21" s="239"/>
      <x:c r="N21" s="239"/>
    </x:row>
    <x:row r="22">
      <x:c r="A22" s="239"/>
      <x:c r="B22" s="239"/>
      <x:c r="C22" s="239"/>
      <x:c r="D22" s="239"/>
      <x:c r="E22" s="239"/>
      <x:c r="F22" s="239"/>
      <x:c r="G22" s="239"/>
      <x:c r="H22" s="239"/>
      <x:c r="I22" s="239"/>
      <x:c r="J22" s="239"/>
      <x:c r="K22" s="239"/>
      <x:c r="L22" s="239"/>
      <x:c r="M22" s="239"/>
      <x:c r="N22" s="239"/>
    </x:row>
    <x:row r="23">
      <x:c r="A23" s="239"/>
      <x:c r="B23" s="239"/>
      <x:c r="C23" s="239"/>
      <x:c r="D23" s="239"/>
      <x:c r="E23" s="239"/>
      <x:c r="F23" s="239"/>
      <x:c r="G23" s="239"/>
      <x:c r="H23" s="239"/>
      <x:c r="I23" s="239"/>
      <x:c r="J23" s="239"/>
      <x:c r="K23" s="239"/>
      <x:c r="L23" s="239"/>
      <x:c r="M23" s="239"/>
      <x:c r="N23" s="239"/>
    </x:row>
    <x:row r="24">
      <x:c r="A24" s="341" t="str">
        <x:v>Interpretation: the offshore model improves implementation economics, but the savings are not simply the difference between $100 and $35. The model retains explicit allowance for onboarding, security, FX/payment friction, rework, stabilisation and Australian consultant oversight. At the proposed planning prices every offer clears its target margin in the High rate case; validate hours and vendor costs after each engagement.</x:v>
      </x:c>
      <x:c r="B24" s="123"/>
      <x:c r="C24" s="123"/>
      <x:c r="D24" s="123"/>
      <x:c r="E24" s="124"/>
      <x:c r="F24" s="239"/>
      <x:c r="G24" s="239"/>
      <x:c r="H24" s="239"/>
      <x:c r="I24" s="239"/>
      <x:c r="J24" s="239"/>
      <x:c r="K24" s="239"/>
      <x:c r="L24" s="239"/>
      <x:c r="M24" s="239"/>
      <x:c r="N24" s="239"/>
    </x:row>
    <x:row r="25">
      <x:c r="A25" s="125"/>
      <x:c r="B25" s="126"/>
      <x:c r="C25" s="126"/>
      <x:c r="D25" s="126"/>
      <x:c r="E25" s="127"/>
      <x:c r="F25" s="239"/>
      <x:c r="G25" s="239"/>
      <x:c r="H25" s="239"/>
      <x:c r="I25" s="239"/>
      <x:c r="J25" s="239"/>
      <x:c r="K25" s="239"/>
      <x:c r="L25" s="239"/>
      <x:c r="M25" s="239"/>
      <x:c r="N25" s="239"/>
    </x:row>
    <x:row r="26">
      <x:c r="A26" s="125"/>
      <x:c r="B26" s="126"/>
      <x:c r="C26" s="126"/>
      <x:c r="D26" s="126"/>
      <x:c r="E26" s="127"/>
      <x:c r="F26" s="239"/>
      <x:c r="G26" s="239"/>
      <x:c r="H26" s="239"/>
      <x:c r="I26" s="239"/>
      <x:c r="J26" s="239"/>
      <x:c r="K26" s="239"/>
      <x:c r="L26" s="239"/>
      <x:c r="M26" s="239"/>
      <x:c r="N26" s="239"/>
    </x:row>
    <x:row r="27">
      <x:c r="A27" s="125"/>
      <x:c r="B27" s="126"/>
      <x:c r="C27" s="126"/>
      <x:c r="D27" s="126"/>
      <x:c r="E27" s="127"/>
      <x:c r="F27" s="239"/>
      <x:c r="G27" s="239"/>
      <x:c r="H27" s="239"/>
      <x:c r="I27" s="239"/>
      <x:c r="J27" s="239"/>
      <x:c r="K27" s="239"/>
      <x:c r="L27" s="239"/>
      <x:c r="M27" s="239"/>
      <x:c r="N27" s="239"/>
    </x:row>
    <x:row r="28">
      <x:c r="A28" s="125"/>
      <x:c r="B28" s="126"/>
      <x:c r="C28" s="126"/>
      <x:c r="D28" s="126"/>
      <x:c r="E28" s="127"/>
      <x:c r="F28" s="239"/>
      <x:c r="G28" s="239"/>
      <x:c r="H28" s="239"/>
      <x:c r="I28" s="239"/>
      <x:c r="J28" s="239"/>
      <x:c r="K28" s="239"/>
      <x:c r="L28" s="239"/>
      <x:c r="M28" s="239"/>
      <x:c r="N28" s="239"/>
    </x:row>
    <x:row r="29">
      <x:c r="A29" s="128"/>
      <x:c r="B29" s="129"/>
      <x:c r="C29" s="129"/>
      <x:c r="D29" s="129"/>
      <x:c r="E29" s="130"/>
      <x:c r="F29" s="239"/>
      <x:c r="G29" s="239"/>
      <x:c r="H29" s="239"/>
      <x:c r="I29" s="239"/>
      <x:c r="J29" s="239"/>
      <x:c r="K29" s="239"/>
      <x:c r="L29" s="239"/>
      <x:c r="M29" s="239"/>
      <x:c r="N29" s="239"/>
    </x:row>
    <x:row r="30"/>
    <x:row r="31"/>
  </x:sheetData>
  <x:mergeCells>
    <x:mergeCell ref="A1:N1"/>
    <x:mergeCell ref="A2:N3"/>
    <x:mergeCell ref="A14:D14"/>
    <x:mergeCell ref="A24:E29"/>
  </x:mergeCells>
  <x:conditionalFormatting sqref="M6:M11">
    <x:cfRule type="containsText" dxfId="0" priority="1" operator="containsText" text="Clears"/>
    <x:cfRule type="containsText" dxfId="1" priority="2" operator="containsText" text="Floor"/>
    <x:cfRule type="containsText" dxfId="2" priority="3" operator="containsText" text="Reprice"/>
  </x:conditionalFormatting>
  <x:pageMargins left="0.7" right="0.7" top="0.75" bottom="0.75" header="0.3" footer="0.3"/>
  <x:drawing xmlns:r="http://schemas.openxmlformats.org/officeDocument/2006/relationships" r:id="R5ac61888fd4f4026"/>
</x:worksheet>
</file>

<file path=xl/worksheets/sheet4.xml><?xml version="1.0" encoding="utf-8"?>
<x:worksheet xmlns:x="http://schemas.openxmlformats.org/spreadsheetml/2006/main">
  <x:sheetViews>
    <x:sheetView showGridLines="0" workbookViewId="0"/>
  </x:sheetViews>
  <x:sheetFormatPr defaultRowHeight="15"/>
  <x:cols>
    <x:col min="1" max="1" width="37" hidden="0" customWidth="1"/>
    <x:col min="2" max="2" width="15" hidden="0" customWidth="1"/>
    <x:col min="3" max="3" width="15" hidden="0" customWidth="1"/>
    <x:col min="4" max="4" width="15" hidden="0" customWidth="1"/>
    <x:col min="5" max="5" width="3" hidden="0" customWidth="1"/>
    <x:col min="6" max="6" width="18" hidden="0" customWidth="1"/>
    <x:col min="7" max="7" width="15" hidden="0" customWidth="1"/>
    <x:col min="8" max="8" width="15" hidden="0" customWidth="1"/>
    <x:col min="9" max="9" width="15" hidden="0" customWidth="1"/>
    <x:col min="10" max="10" width="36.380001068115234" hidden="0" customWidth="1"/>
    <x:col min="11" max="11" width="36.380001068115234" hidden="0" customWidth="1"/>
    <x:col min="12" max="12" width="36.380001068115234" hidden="0" customWidth="1"/>
  </x:cols>
  <x:sheetData>
    <x:row r="1" ht="21.600000381469727" hidden="0" customHeight="1">
      <x:c r="A1" s="328" t="str">
        <x:v>Three-Year Scenario Forecast</x:v>
      </x:c>
      <x:c r="B1" s="4" t="str">
        <x:v>Three-Year Scenario Forecast</x:v>
      </x:c>
      <x:c r="C1" s="4" t="str">
        <x:v>Three-Year Scenario Forecast</x:v>
      </x:c>
      <x:c r="D1" s="4" t="str">
        <x:v>Three-Year Scenario Forecast</x:v>
      </x:c>
      <x:c r="E1" s="4" t="str">
        <x:v>Three-Year Scenario Forecast</x:v>
      </x:c>
      <x:c r="F1" s="4" t="str">
        <x:v>Three-Year Scenario Forecast</x:v>
      </x:c>
      <x:c r="G1" s="4" t="str">
        <x:v>Three-Year Scenario Forecast</x:v>
      </x:c>
      <x:c r="H1" s="4" t="str">
        <x:v>Three-Year Scenario Forecast</x:v>
      </x:c>
      <x:c r="I1" s="4" t="str">
        <x:v>Three-Year Scenario Forecast</x:v>
      </x:c>
      <x:c r="J1" s="4" t="str">
        <x:v>Three-Year Scenario Forecast</x:v>
      </x:c>
      <x:c r="K1" s="4" t="str">
        <x:v>Three-Year Scenario Forecast</x:v>
      </x:c>
      <x:c r="L1" s="4" t="str">
        <x:v>Three-Year Scenario Forecast</x:v>
      </x:c>
    </x:row>
    <x:row r="2">
      <x:c r="A2" s="244" t="str">
        <x:v>Conservative uses the top of both labour-rate ranges and lower sales volumes; Base uses midpoints; Upside uses the low rates and higher volumes. Years are successive 12-month periods after commercial readiness, not calendar guidance.</x:v>
      </x:c>
      <x:c r="B2" s="244"/>
      <x:c r="C2" s="244"/>
      <x:c r="D2" s="244"/>
      <x:c r="E2" s="244"/>
      <x:c r="F2" s="244"/>
      <x:c r="G2" s="244"/>
      <x:c r="H2" s="244"/>
      <x:c r="I2" s="244"/>
      <x:c r="J2" s="244"/>
      <x:c r="K2" s="244"/>
      <x:c r="L2" s="244"/>
    </x:row>
    <x:row r="3">
      <x:c r="A3" s="244"/>
      <x:c r="B3" s="244"/>
      <x:c r="C3" s="244"/>
      <x:c r="D3" s="244"/>
      <x:c r="E3" s="244"/>
      <x:c r="F3" s="244"/>
      <x:c r="G3" s="244"/>
      <x:c r="H3" s="244"/>
      <x:c r="I3" s="244"/>
      <x:c r="J3" s="244"/>
      <x:c r="K3" s="244"/>
      <x:c r="L3" s="244"/>
    </x:row>
    <x:row r="4">
      <x:c r="A4" s="239"/>
      <x:c r="B4" s="239"/>
      <x:c r="C4" s="239"/>
      <x:c r="D4" s="239"/>
      <x:c r="E4" s="239"/>
      <x:c r="F4" s="239"/>
      <x:c r="G4" s="239"/>
      <x:c r="H4" s="239"/>
      <x:c r="I4" s="239"/>
      <x:c r="J4" s="239"/>
      <x:c r="K4" s="239"/>
      <x:c r="L4" s="239"/>
    </x:row>
    <x:row r="5">
      <x:c r="A5" s="239"/>
      <x:c r="B5" s="239"/>
      <x:c r="C5" s="239"/>
      <x:c r="D5" s="239"/>
      <x:c r="E5" s="239"/>
      <x:c r="F5" s="239"/>
      <x:c r="G5" s="239"/>
      <x:c r="H5" s="239"/>
      <x:c r="I5" s="239"/>
      <x:c r="J5" s="239"/>
      <x:c r="K5" s="239"/>
      <x:c r="L5" s="239"/>
    </x:row>
    <x:row r="6" ht="15" hidden="0" customHeight="1">
      <x:c r="A6" s="329" t="str">
        <x:v>Conservative scenario</x:v>
      </x:c>
      <x:c r="B6" s="11" t="str">
        <x:v>Conservative scenario</x:v>
      </x:c>
      <x:c r="C6" s="11" t="str">
        <x:v>Conservative scenario</x:v>
      </x:c>
      <x:c r="D6" s="11" t="str">
        <x:v>Conservative scenario</x:v>
      </x:c>
      <x:c r="E6" s="239"/>
      <x:c r="F6" s="329" t="str">
        <x:v>Revenue comparison ($, ex GST)</x:v>
      </x:c>
      <x:c r="G6" s="11" t="str">
        <x:v>Revenue comparison ($, ex GST)</x:v>
      </x:c>
      <x:c r="H6" s="11" t="str">
        <x:v>Revenue comparison ($, ex GST)</x:v>
      </x:c>
      <x:c r="I6" s="11" t="str">
        <x:v>Revenue comparison ($, ex GST)</x:v>
      </x:c>
      <x:c r="J6" s="239"/>
      <x:c r="K6" s="239"/>
      <x:c r="L6" s="239"/>
    </x:row>
    <x:row r="7" ht="15" hidden="0" customHeight="1">
      <x:c r="A7" s="335" t="str">
        <x:v>Metric</x:v>
      </x:c>
      <x:c r="B7" s="337" t="str">
        <x:v>Year 1</x:v>
      </x:c>
      <x:c r="C7" s="337" t="str">
        <x:v>Year 2</x:v>
      </x:c>
      <x:c r="D7" s="339" t="str">
        <x:v>Year 3</x:v>
      </x:c>
      <x:c r="E7" s="239"/>
      <x:c r="F7" s="335" t="str">
        <x:v>Scenario</x:v>
      </x:c>
      <x:c r="G7" s="337" t="str">
        <x:v>Year 1</x:v>
      </x:c>
      <x:c r="H7" s="337" t="str">
        <x:v>Year 2</x:v>
      </x:c>
      <x:c r="I7" s="339" t="str">
        <x:v>Year 3</x:v>
      </x:c>
      <x:c r="J7" s="239"/>
      <x:c r="K7" s="239"/>
      <x:c r="L7" s="239"/>
    </x:row>
    <x:row r="8" ht="15" hidden="0" customHeight="1">
      <x:c r="A8" s="264" t="str">
        <x:v>Revenue</x:v>
      </x:c>
      <x:c r="B8" s="298" t="n">
        <x:f>SUMPRODUCT('Assumptions'!$C$24:$C$29,'Assumptions'!$I$24:$I$29)</x:f>
        <x:v>128100</x:v>
      </x:c>
      <x:c r="C8" s="298" t="n">
        <x:f>SUMPRODUCT('Assumptions'!$C$24:$C$29,'Assumptions'!$J$24:$J$29)</x:f>
        <x:v>285900</x:v>
      </x:c>
      <x:c r="D8" s="298" t="n">
        <x:f>SUMPRODUCT('Assumptions'!$C$24:$C$29,'Assumptions'!$K$24:$K$29)</x:f>
        <x:v>474000</x:v>
      </x:c>
      <x:c r="E8" s="239"/>
      <x:c r="F8" s="239" t="str">
        <x:f>"Conservative"</x:f>
        <x:v>Conservative</x:v>
      </x:c>
      <x:c r="G8" s="299" t="n">
        <x:f>B8</x:f>
        <x:v>128100</x:v>
      </x:c>
      <x:c r="H8" s="299" t="n">
        <x:f>C8</x:f>
        <x:v>285900</x:v>
      </x:c>
      <x:c r="I8" s="299" t="n">
        <x:f>D8</x:f>
        <x:v>474000</x:v>
      </x:c>
      <x:c r="J8" s="239"/>
      <x:c r="K8" s="239"/>
      <x:c r="L8" s="239"/>
    </x:row>
    <x:row r="9" ht="15" hidden="0" customHeight="1">
      <x:c r="A9" s="269" t="str">
        <x:v>YoY growth</x:v>
      </x:c>
      <x:c r="B9" s="300"/>
      <x:c r="C9" s="300" t="n">
        <x:f>C8/B8-1</x:f>
        <x:v>1.2318501170960188</x:v>
      </x:c>
      <x:c r="D9" s="300" t="n">
        <x:f>D8/C8-1</x:f>
        <x:v>0.6579223504721932</x:v>
      </x:c>
      <x:c r="E9" s="239"/>
      <x:c r="F9" s="239" t="str">
        <x:f>"Base"</x:f>
        <x:v>Base</x:v>
      </x:c>
      <x:c r="G9" s="299" t="n">
        <x:f>B32</x:f>
        <x:v>294600</x:v>
      </x:c>
      <x:c r="H9" s="299" t="n">
        <x:f>C32</x:f>
        <x:v>527200</x:v>
      </x:c>
      <x:c r="I9" s="299" t="n">
        <x:f>D32</x:f>
        <x:v>776100</x:v>
      </x:c>
      <x:c r="J9" s="239"/>
      <x:c r="K9" s="239"/>
      <x:c r="L9" s="239"/>
    </x:row>
    <x:row r="10" ht="15" hidden="0" customHeight="1">
      <x:c r="A10" s="269" t="str">
        <x:v>Consultant delivery hours</x:v>
      </x:c>
      <x:c r="B10" s="301" t="n">
        <x:f>SUMPRODUCT('Assumptions'!$D$24:$D$29,'Assumptions'!$I$24:$I$29)</x:f>
        <x:v>242</x:v>
      </x:c>
      <x:c r="C10" s="301" t="n">
        <x:f>SUMPRODUCT('Assumptions'!$D$24:$D$29,'Assumptions'!$J$24:$J$29)</x:f>
        <x:v>474</x:v>
      </x:c>
      <x:c r="D10" s="301" t="n">
        <x:f>SUMPRODUCT('Assumptions'!$D$24:$D$29,'Assumptions'!$K$24:$K$29)</x:f>
        <x:v>740</x:v>
      </x:c>
      <x:c r="E10" s="239"/>
      <x:c r="F10" s="239" t="str">
        <x:f>"Upside"</x:f>
        <x:v>Upside</x:v>
      </x:c>
      <x:c r="G10" s="299" t="n">
        <x:f>B56</x:f>
        <x:v>411200</x:v>
      </x:c>
      <x:c r="H10" s="299" t="n">
        <x:f>C56</x:f>
        <x:v>807000</x:v>
      </x:c>
      <x:c r="I10" s="299" t="n">
        <x:f>D56</x:f>
        <x:v>1235200</x:v>
      </x:c>
      <x:c r="J10" s="239"/>
      <x:c r="K10" s="239"/>
      <x:c r="L10" s="239"/>
    </x:row>
    <x:row r="11" ht="15" hidden="0" customHeight="1">
      <x:c r="A11" s="269" t="str">
        <x:v>Offshore developer hours</x:v>
      </x:c>
      <x:c r="B11" s="301" t="n">
        <x:f>SUMPRODUCT('Assumptions'!$E$24:$E$29,'Assumptions'!$I$24:$I$29)</x:f>
        <x:v>132</x:v>
      </x:c>
      <x:c r="C11" s="301" t="n">
        <x:f>SUMPRODUCT('Assumptions'!$E$24:$E$29,'Assumptions'!$J$24:$J$29)</x:f>
        <x:v>352</x:v>
      </x:c>
      <x:c r="D11" s="301" t="n">
        <x:f>SUMPRODUCT('Assumptions'!$E$24:$E$29,'Assumptions'!$K$24:$K$29)</x:f>
        <x:v>622</x:v>
      </x:c>
      <x:c r="E11" s="239"/>
      <x:c r="F11" s="239"/>
      <x:c r="G11" s="239"/>
      <x:c r="H11" s="239"/>
      <x:c r="I11" s="239"/>
      <x:c r="J11" s="239"/>
      <x:c r="K11" s="239"/>
      <x:c r="L11" s="239"/>
    </x:row>
    <x:row r="12" ht="15" hidden="0" customHeight="1">
      <x:c r="A12" s="269" t="str">
        <x:v>Consultant labour</x:v>
      </x:c>
      <x:c r="B12" s="302" t="n">
        <x:f>B10*'Assumptions'!$D$7</x:f>
        <x:v>24200</x:v>
      </x:c>
      <x:c r="C12" s="302" t="n">
        <x:f>C10*'Assumptions'!$D$7</x:f>
        <x:v>47400</x:v>
      </x:c>
      <x:c r="D12" s="302" t="n">
        <x:f>D10*'Assumptions'!$D$7</x:f>
        <x:v>74000</x:v>
      </x:c>
      <x:c r="E12" s="239"/>
      <x:c r="F12" s="239"/>
      <x:c r="G12" s="239"/>
      <x:c r="H12" s="239"/>
      <x:c r="I12" s="239"/>
      <x:c r="J12" s="239"/>
      <x:c r="K12" s="239"/>
      <x:c r="L12" s="239"/>
    </x:row>
    <x:row r="13" ht="15" hidden="0" customHeight="1">
      <x:c r="A13" s="269" t="str">
        <x:v>Offshore developer fees</x:v>
      </x:c>
      <x:c r="B13" s="302" t="n">
        <x:f>B11*'Assumptions'!$D$8</x:f>
        <x:v>4620</x:v>
      </x:c>
      <x:c r="C13" s="302" t="n">
        <x:f>C11*'Assumptions'!$D$8</x:f>
        <x:v>12320</x:v>
      </x:c>
      <x:c r="D13" s="302" t="n">
        <x:f>D11*'Assumptions'!$D$8</x:f>
        <x:v>21770</x:v>
      </x:c>
      <x:c r="E13" s="239"/>
      <x:c r="F13" s="239"/>
      <x:c r="G13" s="239"/>
      <x:c r="H13" s="239"/>
      <x:c r="I13" s="239"/>
      <x:c r="J13" s="239"/>
      <x:c r="K13" s="239"/>
      <x:c r="L13" s="239"/>
    </x:row>
    <x:row r="14" ht="15" hidden="0" customHeight="1">
      <x:c r="A14" s="269" t="str">
        <x:v>Offshore execution uplift</x:v>
      </x:c>
      <x:c r="B14" s="302" t="n">
        <x:f>B13*'Assumptions'!$B$14</x:f>
        <x:v>1155</x:v>
      </x:c>
      <x:c r="C14" s="302" t="n">
        <x:f>C13*'Assumptions'!$B$14</x:f>
        <x:v>3080</x:v>
      </x:c>
      <x:c r="D14" s="302" t="n">
        <x:f>D13*'Assumptions'!$B$14</x:f>
        <x:v>5442.5</x:v>
      </x:c>
      <x:c r="E14" s="239"/>
      <x:c r="F14" s="239"/>
      <x:c r="G14" s="239"/>
      <x:c r="H14" s="239"/>
      <x:c r="I14" s="239"/>
      <x:c r="J14" s="239"/>
      <x:c r="K14" s="239"/>
      <x:c r="L14" s="239"/>
    </x:row>
    <x:row r="15" ht="15" hidden="0" customHeight="1">
      <x:c r="A15" s="269" t="str">
        <x:v>Direct non-labour</x:v>
      </x:c>
      <x:c r="B15" s="302" t="n">
        <x:f>SUMPRODUCT('Assumptions'!$F$24:$F$29,'Assumptions'!$I$24:$I$29)</x:f>
        <x:v>4300</x:v>
      </x:c>
      <x:c r="C15" s="302" t="n">
        <x:f>SUMPRODUCT('Assumptions'!$F$24:$F$29,'Assumptions'!$J$24:$J$29)</x:f>
        <x:v>10000</x:v>
      </x:c>
      <x:c r="D15" s="302" t="n">
        <x:f>SUMPRODUCT('Assumptions'!$F$24:$F$29,'Assumptions'!$K$24:$K$29)</x:f>
        <x:v>16800</x:v>
      </x:c>
      <x:c r="E15" s="239"/>
      <x:c r="F15" s="239"/>
      <x:c r="G15" s="239"/>
      <x:c r="H15" s="239"/>
      <x:c r="I15" s="239"/>
      <x:c r="J15" s="239"/>
      <x:c r="K15" s="239"/>
      <x:c r="L15" s="239"/>
    </x:row>
    <x:row r="16" ht="15" hidden="0" customHeight="1">
      <x:c r="A16" s="269" t="str">
        <x:v>Payment and collection costs</x:v>
      </x:c>
      <x:c r="B16" s="302" t="n">
        <x:f>B8*'Assumptions'!$B$16</x:f>
        <x:v>1281</x:v>
      </x:c>
      <x:c r="C16" s="302" t="n">
        <x:f>C8*'Assumptions'!$B$16</x:f>
        <x:v>2859</x:v>
      </x:c>
      <x:c r="D16" s="302" t="n">
        <x:f>D8*'Assumptions'!$B$16</x:f>
        <x:v>4740</x:v>
      </x:c>
      <x:c r="E16" s="239"/>
      <x:c r="F16" s="239"/>
      <x:c r="G16" s="239"/>
      <x:c r="H16" s="239"/>
      <x:c r="I16" s="239"/>
      <x:c r="J16" s="239"/>
      <x:c r="K16" s="239"/>
      <x:c r="L16" s="239"/>
    </x:row>
    <x:row r="17" ht="15" hidden="0" customHeight="1">
      <x:c r="A17" s="269" t="str">
        <x:v>Delivery contingency</x:v>
      </x:c>
      <x:c r="B17" s="302" t="n">
        <x:f>SUM(B12:B15)*'Assumptions'!$B$15</x:f>
        <x:v>3427.5</x:v>
      </x:c>
      <x:c r="C17" s="302" t="n">
        <x:f>SUM(C12:C15)*'Assumptions'!$B$15</x:f>
        <x:v>7280</x:v>
      </x:c>
      <x:c r="D17" s="302" t="n">
        <x:f>SUM(D12:D15)*'Assumptions'!$B$15</x:f>
        <x:v>11801.25</x:v>
      </x:c>
      <x:c r="E17" s="239"/>
      <x:c r="F17" s="239"/>
      <x:c r="G17" s="239"/>
      <x:c r="H17" s="239"/>
      <x:c r="I17" s="239"/>
      <x:c r="J17" s="239"/>
      <x:c r="K17" s="239"/>
      <x:c r="L17" s="239"/>
    </x:row>
    <x:row r="18" ht="15" hidden="0" customHeight="1">
      <x:c r="A18" s="269" t="str">
        <x:v>Total direct cost</x:v>
      </x:c>
      <x:c r="B18" s="302" t="n">
        <x:f>SUM(B12:B17)</x:f>
        <x:v>38983.5</x:v>
      </x:c>
      <x:c r="C18" s="302" t="n">
        <x:f>SUM(C12:C17)</x:f>
        <x:v>82939</x:v>
      </x:c>
      <x:c r="D18" s="302" t="n">
        <x:f>SUM(D12:D17)</x:f>
        <x:v>134553.75</x:v>
      </x:c>
      <x:c r="E18" s="239"/>
      <x:c r="F18" s="239"/>
      <x:c r="G18" s="239"/>
      <x:c r="H18" s="239"/>
      <x:c r="I18" s="239"/>
      <x:c r="J18" s="239"/>
      <x:c r="K18" s="239"/>
      <x:c r="L18" s="239"/>
    </x:row>
    <x:row r="19" ht="15" hidden="0" customHeight="1">
      <x:c r="A19" s="342" t="str">
        <x:v>Gross profit</x:v>
      </x:c>
      <x:c r="B19" s="343" t="n">
        <x:f>B8-B18</x:f>
        <x:v>89116.5</x:v>
      </x:c>
      <x:c r="C19" s="343" t="n">
        <x:f>C8-C18</x:f>
        <x:v>202961</x:v>
      </x:c>
      <x:c r="D19" s="343" t="n">
        <x:f>D8-D18</x:f>
        <x:v>339446.25</x:v>
      </x:c>
      <x:c r="E19" s="239"/>
      <x:c r="F19" s="239"/>
      <x:c r="G19" s="239"/>
      <x:c r="H19" s="239"/>
      <x:c r="I19" s="239"/>
      <x:c r="J19" s="239"/>
      <x:c r="K19" s="239"/>
      <x:c r="L19" s="239"/>
    </x:row>
    <x:row r="20" ht="15" hidden="0" customHeight="1">
      <x:c r="A20" s="342" t="str">
        <x:v>Gross margin</x:v>
      </x:c>
      <x:c r="B20" s="344" t="n">
        <x:f>B19/B8</x:f>
        <x:v>0.6956791569086651</x:v>
      </x:c>
      <x:c r="C20" s="344" t="n">
        <x:f>C19/C8</x:f>
        <x:v>0.7099020636586219</x:v>
      </x:c>
      <x:c r="D20" s="344" t="n">
        <x:f>D19/D8</x:f>
        <x:v>0.7161313291139241</x:v>
      </x:c>
      <x:c r="E20" s="239"/>
      <x:c r="F20" s="239"/>
      <x:c r="G20" s="239"/>
      <x:c r="H20" s="239"/>
      <x:c r="I20" s="239"/>
      <x:c r="J20" s="239"/>
      <x:c r="K20" s="239"/>
      <x:c r="L20" s="239"/>
    </x:row>
    <x:row r="21" ht="15" hidden="0" customHeight="1">
      <x:c r="A21" s="269" t="str">
        <x:v>Operating expense</x:v>
      </x:c>
      <x:c r="B21" s="302" t="n">
        <x:f>'Operating Budget'!B$22*'Assumptions'!I$34</x:f>
        <x:v>105218.3125</x:v>
      </x:c>
      <x:c r="C21" s="302" t="n">
        <x:f>'Operating Budget'!C$22*'Assumptions'!J$34</x:f>
        <x:v>140228.64375</x:v>
      </x:c>
      <x:c r="D21" s="302" t="n">
        <x:f>'Operating Budget'!D$22*'Assumptions'!K$34</x:f>
        <x:v>193513.975</x:v>
      </x:c>
      <x:c r="E21" s="239"/>
      <x:c r="F21" s="239"/>
      <x:c r="G21" s="239"/>
      <x:c r="H21" s="239"/>
      <x:c r="I21" s="239"/>
      <x:c r="J21" s="239"/>
      <x:c r="K21" s="239"/>
      <x:c r="L21" s="239"/>
    </x:row>
    <x:row r="22" ht="15" hidden="0" customHeight="1">
      <x:c r="A22" s="342" t="str">
        <x:v>Operating contribution</x:v>
      </x:c>
      <x:c r="B22" s="343" t="n">
        <x:f>B19-B21</x:f>
        <x:v>-16101.8125</x:v>
      </x:c>
      <x:c r="C22" s="343" t="n">
        <x:f>C19-C21</x:f>
        <x:v>62732.35625000001</x:v>
      </x:c>
      <x:c r="D22" s="343" t="n">
        <x:f>D19-D21</x:f>
        <x:v>145932.275</x:v>
      </x:c>
      <x:c r="E22" s="239"/>
      <x:c r="F22" s="239"/>
      <x:c r="G22" s="239"/>
      <x:c r="H22" s="239"/>
      <x:c r="I22" s="239"/>
      <x:c r="J22" s="239"/>
      <x:c r="K22" s="239"/>
      <x:c r="L22" s="239"/>
    </x:row>
    <x:row r="23" ht="15" hidden="0" customHeight="1">
      <x:c r="A23" s="342" t="str">
        <x:v>Contribution margin</x:v>
      </x:c>
      <x:c r="B23" s="344" t="n">
        <x:f>B22/B8</x:f>
        <x:v>-0.12569720921155347</x:v>
      </x:c>
      <x:c r="C23" s="344" t="n">
        <x:f>C22/C8</x:f>
        <x:v>0.2194206234697447</x:v>
      </x:c>
      <x:c r="D23" s="344" t="n">
        <x:f>D22/D8</x:f>
        <x:v>0.30787399789029535</x:v>
      </x:c>
      <x:c r="E23" s="239"/>
      <x:c r="F23" s="239"/>
      <x:c r="G23" s="239"/>
      <x:c r="H23" s="239"/>
      <x:c r="I23" s="239"/>
      <x:c r="J23" s="239"/>
      <x:c r="K23" s="239"/>
      <x:c r="L23" s="239"/>
    </x:row>
    <x:row r="24" ht="15" hidden="0" customHeight="1">
      <x:c r="A24" s="269" t="str">
        <x:v>Income-tax provision</x:v>
      </x:c>
      <x:c r="B24" s="302" t="n">
        <x:f>MAX(0,B22*'Assumptions'!$I$9)</x:f>
        <x:v>0</x:v>
      </x:c>
      <x:c r="C24" s="302" t="n">
        <x:f>MAX(0,C22*'Assumptions'!$I$9)</x:f>
        <x:v>15683.089062500003</x:v>
      </x:c>
      <x:c r="D24" s="302" t="n">
        <x:f>MAX(0,D22*'Assumptions'!$I$9)</x:f>
        <x:v>36483.06875</x:v>
      </x:c>
      <x:c r="E24" s="239"/>
      <x:c r="F24" s="239"/>
      <x:c r="G24" s="239"/>
      <x:c r="H24" s="239"/>
      <x:c r="I24" s="239"/>
      <x:c r="J24" s="239"/>
      <x:c r="K24" s="239"/>
      <x:c r="L24" s="239"/>
    </x:row>
    <x:row r="25" ht="15" hidden="0" customHeight="1">
      <x:c r="A25" s="269" t="str">
        <x:v>After-tax contribution</x:v>
      </x:c>
      <x:c r="B25" s="302" t="n">
        <x:f>B22-B24</x:f>
        <x:v>-16101.8125</x:v>
      </x:c>
      <x:c r="C25" s="302" t="n">
        <x:f>C22-C24</x:f>
        <x:v>47049.26718750001</x:v>
      </x:c>
      <x:c r="D25" s="302" t="n">
        <x:f>D22-D24</x:f>
        <x:v>109449.20624999999</x:v>
      </x:c>
      <x:c r="E25" s="239"/>
      <x:c r="F25" s="239"/>
      <x:c r="G25" s="239"/>
      <x:c r="H25" s="239"/>
      <x:c r="I25" s="239"/>
      <x:c r="J25" s="239"/>
      <x:c r="K25" s="239"/>
      <x:c r="L25" s="239"/>
    </x:row>
    <x:row r="26" ht="15" hidden="0" customHeight="1">
      <x:c r="A26" s="275" t="str">
        <x:v>Working-capital reserve</x:v>
      </x:c>
      <x:c r="B26" s="309" t="n">
        <x:f>(B21/12*'Assumptions'!$I$14)+(B18/12*'Assumptions'!$I$15)</x:f>
        <x:v>29553.203125</x:v>
      </x:c>
      <x:c r="C26" s="309" t="n">
        <x:f>(C21/12*'Assumptions'!$I$14)+(C18/12*'Assumptions'!$I$15)</x:f>
        <x:v>41968.74427083333</x:v>
      </x:c>
      <x:c r="D26" s="309" t="n">
        <x:f>(D21/12*'Assumptions'!$I$14)+(D18/12*'Assumptions'!$I$15)</x:f>
        <x:v>59591.30625</x:v>
      </x:c>
      <x:c r="E26" s="239"/>
      <x:c r="F26" s="239"/>
      <x:c r="G26" s="239"/>
      <x:c r="H26" s="239"/>
      <x:c r="I26" s="239"/>
      <x:c r="J26" s="239"/>
      <x:c r="K26" s="239"/>
      <x:c r="L26" s="239"/>
    </x:row>
    <x:row r="27">
      <x:c r="A27" s="239"/>
      <x:c r="B27" s="239"/>
      <x:c r="C27" s="239"/>
      <x:c r="D27" s="239"/>
      <x:c r="E27" s="239"/>
      <x:c r="F27" s="239"/>
      <x:c r="G27" s="239"/>
      <x:c r="H27" s="239"/>
      <x:c r="I27" s="239"/>
      <x:c r="J27" s="239"/>
      <x:c r="K27" s="239"/>
      <x:c r="L27" s="239"/>
    </x:row>
    <x:row r="28">
      <x:c r="A28" s="239"/>
      <x:c r="B28" s="239"/>
      <x:c r="C28" s="239"/>
      <x:c r="D28" s="239"/>
      <x:c r="E28" s="239"/>
      <x:c r="F28" s="239"/>
      <x:c r="G28" s="239"/>
      <x:c r="H28" s="239"/>
      <x:c r="I28" s="239"/>
      <x:c r="J28" s="239"/>
      <x:c r="K28" s="239"/>
      <x:c r="L28" s="239"/>
    </x:row>
    <x:row r="29">
      <x:c r="A29" s="239"/>
      <x:c r="B29" s="239"/>
      <x:c r="C29" s="239"/>
      <x:c r="D29" s="239"/>
      <x:c r="E29" s="239"/>
      <x:c r="F29" s="239"/>
      <x:c r="G29" s="239"/>
      <x:c r="H29" s="239"/>
      <x:c r="I29" s="239"/>
      <x:c r="J29" s="239"/>
      <x:c r="K29" s="239"/>
      <x:c r="L29" s="239"/>
    </x:row>
    <x:row r="30" ht="15" hidden="0" customHeight="1">
      <x:c r="A30" s="329" t="str">
        <x:v>Base scenario</x:v>
      </x:c>
      <x:c r="B30" s="11" t="str">
        <x:v>Base scenario</x:v>
      </x:c>
      <x:c r="C30" s="11" t="str">
        <x:v>Base scenario</x:v>
      </x:c>
      <x:c r="D30" s="11" t="str">
        <x:v>Base scenario</x:v>
      </x:c>
      <x:c r="E30" s="239"/>
      <x:c r="F30" s="239"/>
      <x:c r="G30" s="239"/>
      <x:c r="H30" s="239"/>
      <x:c r="I30" s="239"/>
      <x:c r="J30" s="239"/>
      <x:c r="K30" s="239"/>
      <x:c r="L30" s="239"/>
    </x:row>
    <x:row r="31" ht="15" hidden="0" customHeight="1">
      <x:c r="A31" s="335" t="str">
        <x:v>Metric</x:v>
      </x:c>
      <x:c r="B31" s="337" t="str">
        <x:v>Year 1</x:v>
      </x:c>
      <x:c r="C31" s="337" t="str">
        <x:v>Year 2</x:v>
      </x:c>
      <x:c r="D31" s="339" t="str">
        <x:v>Year 3</x:v>
      </x:c>
      <x:c r="E31" s="239"/>
      <x:c r="F31" s="239"/>
      <x:c r="G31" s="239"/>
      <x:c r="H31" s="239"/>
      <x:c r="I31" s="239"/>
      <x:c r="J31" s="239"/>
      <x:c r="K31" s="239"/>
      <x:c r="L31" s="239"/>
    </x:row>
    <x:row r="32" ht="15" hidden="0" customHeight="1">
      <x:c r="A32" s="264" t="str">
        <x:v>Revenue</x:v>
      </x:c>
      <x:c r="B32" s="298" t="n">
        <x:f>SUMPRODUCT('Assumptions'!$C$24:$C$29,'Assumptions'!$L$24:$L$29)</x:f>
        <x:v>294600</x:v>
      </x:c>
      <x:c r="C32" s="298" t="n">
        <x:f>SUMPRODUCT('Assumptions'!$C$24:$C$29,'Assumptions'!$M$24:$M$29)</x:f>
        <x:v>527200</x:v>
      </x:c>
      <x:c r="D32" s="298" t="n">
        <x:f>SUMPRODUCT('Assumptions'!$C$24:$C$29,'Assumptions'!$N$24:$N$29)</x:f>
        <x:v>776100</x:v>
      </x:c>
      <x:c r="E32" s="239"/>
      <x:c r="F32" s="329" t="str">
        <x:v>Operating contribution comparison ($)</x:v>
      </x:c>
      <x:c r="G32" s="11" t="str">
        <x:v>Operating contribution comparison ($)</x:v>
      </x:c>
      <x:c r="H32" s="11" t="str">
        <x:v>Operating contribution comparison ($)</x:v>
      </x:c>
      <x:c r="I32" s="11" t="str">
        <x:v>Operating contribution comparison ($)</x:v>
      </x:c>
      <x:c r="J32" s="239"/>
      <x:c r="K32" s="239"/>
      <x:c r="L32" s="239"/>
    </x:row>
    <x:row r="33" ht="15" hidden="0" customHeight="1">
      <x:c r="A33" s="269" t="str">
        <x:v>YoY growth</x:v>
      </x:c>
      <x:c r="B33" s="300"/>
      <x:c r="C33" s="300" t="n">
        <x:f>C32/B32-1</x:f>
        <x:v>0.7895451459606246</x:v>
      </x:c>
      <x:c r="D33" s="300" t="n">
        <x:f>D32/C32-1</x:f>
        <x:v>0.47211684370257956</x:v>
      </x:c>
      <x:c r="E33" s="239"/>
      <x:c r="F33" s="335" t="str">
        <x:v>Scenario</x:v>
      </x:c>
      <x:c r="G33" s="337" t="str">
        <x:v>Year 1</x:v>
      </x:c>
      <x:c r="H33" s="337" t="str">
        <x:v>Year 2</x:v>
      </x:c>
      <x:c r="I33" s="339" t="str">
        <x:v>Year 3</x:v>
      </x:c>
      <x:c r="J33" s="239"/>
      <x:c r="K33" s="239"/>
      <x:c r="L33" s="239"/>
    </x:row>
    <x:row r="34" ht="15" hidden="0" customHeight="1">
      <x:c r="A34" s="269" t="str">
        <x:v>Consultant delivery hours</x:v>
      </x:c>
      <x:c r="B34" s="301" t="n">
        <x:f>SUMPRODUCT('Assumptions'!$D$24:$D$29,'Assumptions'!$L$24:$L$29)</x:f>
        <x:v>490</x:v>
      </x:c>
      <x:c r="C34" s="301" t="n">
        <x:f>SUMPRODUCT('Assumptions'!$D$24:$D$29,'Assumptions'!$M$24:$M$29)</x:f>
        <x:v>837</x:v>
      </x:c>
      <x:c r="D34" s="301" t="n">
        <x:f>SUMPRODUCT('Assumptions'!$D$24:$D$29,'Assumptions'!$N$24:$N$29)</x:f>
        <x:v>1189</x:v>
      </x:c>
      <x:c r="E34" s="239"/>
      <x:c r="F34" s="239" t="str">
        <x:f>"Conservative"</x:f>
        <x:v>Conservative</x:v>
      </x:c>
      <x:c r="G34" s="299" t="n">
        <x:f>B22</x:f>
        <x:v>-16101.8125</x:v>
      </x:c>
      <x:c r="H34" s="299" t="n">
        <x:f>C22</x:f>
        <x:v>62732.35625000001</x:v>
      </x:c>
      <x:c r="I34" s="299" t="n">
        <x:f>D22</x:f>
        <x:v>145932.275</x:v>
      </x:c>
      <x:c r="J34" s="239"/>
      <x:c r="K34" s="239"/>
      <x:c r="L34" s="239"/>
    </x:row>
    <x:row r="35" ht="15" hidden="0" customHeight="1">
      <x:c r="A35" s="269" t="str">
        <x:v>Offshore developer hours</x:v>
      </x:c>
      <x:c r="B35" s="301" t="n">
        <x:f>SUMPRODUCT('Assumptions'!$E$24:$E$29,'Assumptions'!$L$24:$L$29)</x:f>
        <x:v>372</x:v>
      </x:c>
      <x:c r="C35" s="301" t="n">
        <x:f>SUMPRODUCT('Assumptions'!$E$24:$E$29,'Assumptions'!$M$24:$M$29)</x:f>
        <x:v>685</x:v>
      </x:c>
      <x:c r="D35" s="301" t="n">
        <x:f>SUMPRODUCT('Assumptions'!$E$24:$E$29,'Assumptions'!$N$24:$N$29)</x:f>
        <x:v>1037</x:v>
      </x:c>
      <x:c r="E35" s="239"/>
      <x:c r="F35" s="239" t="str">
        <x:f>"Base"</x:f>
        <x:v>Base</x:v>
      </x:c>
      <x:c r="G35" s="299" t="n">
        <x:f>B46</x:f>
        <x:v>91184</x:v>
      </x:c>
      <x:c r="H35" s="299" t="n">
        <x:f>C46</x:f>
        <x:v>222909.1875</x:v>
      </x:c>
      <x:c r="I35" s="299" t="n">
        <x:f>D46</x:f>
        <x:v>346373.5625</x:v>
      </x:c>
      <x:c r="J35" s="239"/>
      <x:c r="K35" s="239"/>
      <x:c r="L35" s="239"/>
    </x:row>
    <x:row r="36" ht="15" hidden="0" customHeight="1">
      <x:c r="A36" s="269" t="str">
        <x:v>Consultant labour</x:v>
      </x:c>
      <x:c r="B36" s="302" t="n">
        <x:f>B34*'Assumptions'!$C$7</x:f>
        <x:v>44100</x:v>
      </x:c>
      <x:c r="C36" s="302" t="n">
        <x:f>C34*'Assumptions'!$C$7</x:f>
        <x:v>75330</x:v>
      </x:c>
      <x:c r="D36" s="302" t="n">
        <x:f>D34*'Assumptions'!$C$7</x:f>
        <x:v>107010</x:v>
      </x:c>
      <x:c r="E36" s="239"/>
      <x:c r="F36" s="239" t="str">
        <x:f>"Upside"</x:f>
        <x:v>Upside</x:v>
      </x:c>
      <x:c r="G36" s="299" t="n">
        <x:f>B70</x:f>
        <x:v>161084.5</x:v>
      </x:c>
      <x:c r="H36" s="299" t="n">
        <x:f>C70</x:f>
        <x:v>389868.41874999995</x:v>
      </x:c>
      <x:c r="I36" s="299" t="n">
        <x:f>D70</x:f>
        <x:v>613511.925</x:v>
      </x:c>
      <x:c r="J36" s="239"/>
      <x:c r="K36" s="239"/>
      <x:c r="L36" s="239"/>
    </x:row>
    <x:row r="37" ht="15" hidden="0" customHeight="1">
      <x:c r="A37" s="269" t="str">
        <x:v>Offshore developer fees</x:v>
      </x:c>
      <x:c r="B37" s="302" t="n">
        <x:f>B35*'Assumptions'!$C$8</x:f>
        <x:v>12090</x:v>
      </x:c>
      <x:c r="C37" s="302" t="n">
        <x:f>C35*'Assumptions'!$C$8</x:f>
        <x:v>22262.5</x:v>
      </x:c>
      <x:c r="D37" s="302" t="n">
        <x:f>D35*'Assumptions'!$C$8</x:f>
        <x:v>33702.5</x:v>
      </x:c>
      <x:c r="E37" s="239"/>
      <x:c r="F37" s="239"/>
      <x:c r="G37" s="239"/>
      <x:c r="H37" s="239"/>
      <x:c r="I37" s="239"/>
      <x:c r="J37" s="239"/>
      <x:c r="K37" s="239"/>
      <x:c r="L37" s="239"/>
    </x:row>
    <x:row r="38" ht="15" hidden="0" customHeight="1">
      <x:c r="A38" s="269" t="str">
        <x:v>Offshore execution uplift</x:v>
      </x:c>
      <x:c r="B38" s="302" t="n">
        <x:f>B37*'Assumptions'!$B$14</x:f>
        <x:v>3022.5</x:v>
      </x:c>
      <x:c r="C38" s="302" t="n">
        <x:f>C37*'Assumptions'!$B$14</x:f>
        <x:v>5565.625</x:v>
      </x:c>
      <x:c r="D38" s="302" t="n">
        <x:f>D37*'Assumptions'!$B$14</x:f>
        <x:v>8425.625</x:v>
      </x:c>
      <x:c r="E38" s="239"/>
      <x:c r="F38" s="239"/>
      <x:c r="G38" s="239"/>
      <x:c r="H38" s="239"/>
      <x:c r="I38" s="239"/>
      <x:c r="J38" s="239"/>
      <x:c r="K38" s="239"/>
      <x:c r="L38" s="239"/>
    </x:row>
    <x:row r="39" ht="15" hidden="0" customHeight="1">
      <x:c r="A39" s="269" t="str">
        <x:v>Direct non-labour</x:v>
      </x:c>
      <x:c r="B39" s="302" t="n">
        <x:f>SUMPRODUCT('Assumptions'!$F$24:$F$29,'Assumptions'!$L$24:$L$29)</x:f>
        <x:v>10500</x:v>
      </x:c>
      <x:c r="C39" s="302" t="n">
        <x:f>SUMPRODUCT('Assumptions'!$F$24:$F$29,'Assumptions'!$M$24:$M$29)</x:f>
        <x:v>18700</x:v>
      </x:c>
      <x:c r="D39" s="302" t="n">
        <x:f>SUMPRODUCT('Assumptions'!$F$24:$F$29,'Assumptions'!$N$24:$N$29)</x:f>
        <x:v>27500</x:v>
      </x:c>
      <x:c r="E39" s="239"/>
      <x:c r="F39" s="239"/>
      <x:c r="G39" s="239"/>
      <x:c r="H39" s="239"/>
      <x:c r="I39" s="239"/>
      <x:c r="J39" s="239"/>
      <x:c r="K39" s="239"/>
      <x:c r="L39" s="239"/>
    </x:row>
    <x:row r="40" ht="15" hidden="0" customHeight="1">
      <x:c r="A40" s="269" t="str">
        <x:v>Payment and collection costs</x:v>
      </x:c>
      <x:c r="B40" s="302" t="n">
        <x:f>B32*'Assumptions'!$B$16</x:f>
        <x:v>2946</x:v>
      </x:c>
      <x:c r="C40" s="302" t="n">
        <x:f>C32*'Assumptions'!$B$16</x:f>
        <x:v>5272</x:v>
      </x:c>
      <x:c r="D40" s="302" t="n">
        <x:f>D32*'Assumptions'!$B$16</x:f>
        <x:v>7761</x:v>
      </x:c>
      <x:c r="E40" s="239"/>
      <x:c r="F40" s="239"/>
      <x:c r="G40" s="239"/>
      <x:c r="H40" s="239"/>
      <x:c r="I40" s="239"/>
      <x:c r="J40" s="239"/>
      <x:c r="K40" s="239"/>
      <x:c r="L40" s="239"/>
    </x:row>
    <x:row r="41" ht="15" hidden="0" customHeight="1">
      <x:c r="A41" s="269" t="str">
        <x:v>Delivery contingency</x:v>
      </x:c>
      <x:c r="B41" s="302" t="n">
        <x:f>SUM(B36:B39)*'Assumptions'!$B$15</x:f>
        <x:v>6971.25</x:v>
      </x:c>
      <x:c r="C41" s="302" t="n">
        <x:f>SUM(C36:C39)*'Assumptions'!$B$15</x:f>
        <x:v>12185.8125</x:v>
      </x:c>
      <x:c r="D41" s="302" t="n">
        <x:f>SUM(D36:D39)*'Assumptions'!$B$15</x:f>
        <x:v>17663.8125</x:v>
      </x:c>
      <x:c r="E41" s="239"/>
      <x:c r="F41" s="239"/>
      <x:c r="G41" s="239"/>
      <x:c r="H41" s="239"/>
      <x:c r="I41" s="239"/>
      <x:c r="J41" s="239"/>
      <x:c r="K41" s="239"/>
      <x:c r="L41" s="239"/>
    </x:row>
    <x:row r="42" ht="15" hidden="0" customHeight="1">
      <x:c r="A42" s="269" t="str">
        <x:v>Total direct cost</x:v>
      </x:c>
      <x:c r="B42" s="302" t="n">
        <x:f>SUM(B36:B41)</x:f>
        <x:v>79629.75</x:v>
      </x:c>
      <x:c r="C42" s="302" t="n">
        <x:f>SUM(C36:C41)</x:f>
        <x:v>139315.9375</x:v>
      </x:c>
      <x:c r="D42" s="302" t="n">
        <x:f>SUM(D36:D41)</x:f>
        <x:v>202062.9375</x:v>
      </x:c>
      <x:c r="E42" s="239"/>
      <x:c r="F42" s="239"/>
      <x:c r="G42" s="239"/>
      <x:c r="H42" s="239"/>
      <x:c r="I42" s="239"/>
      <x:c r="J42" s="239"/>
      <x:c r="K42" s="239"/>
      <x:c r="L42" s="239"/>
    </x:row>
    <x:row r="43" ht="15" hidden="0" customHeight="1">
      <x:c r="A43" s="342" t="str">
        <x:v>Gross profit</x:v>
      </x:c>
      <x:c r="B43" s="343" t="n">
        <x:f>B32-B42</x:f>
        <x:v>214970.25</x:v>
      </x:c>
      <x:c r="C43" s="343" t="n">
        <x:f>C32-C42</x:f>
        <x:v>387884.0625</x:v>
      </x:c>
      <x:c r="D43" s="343" t="n">
        <x:f>D32-D42</x:f>
        <x:v>574037.0625</x:v>
      </x:c>
      <x:c r="E43" s="239"/>
      <x:c r="F43" s="239"/>
      <x:c r="G43" s="239"/>
      <x:c r="H43" s="239"/>
      <x:c r="I43" s="239"/>
      <x:c r="J43" s="239"/>
      <x:c r="K43" s="239"/>
      <x:c r="L43" s="239"/>
    </x:row>
    <x:row r="44" ht="15" hidden="0" customHeight="1">
      <x:c r="A44" s="342" t="str">
        <x:v>Gross margin</x:v>
      </x:c>
      <x:c r="B44" s="344" t="n">
        <x:f>B43/B32</x:f>
        <x:v>0.7297021384928717</x:v>
      </x:c>
      <x:c r="C44" s="344" t="n">
        <x:f>C43/C32</x:f>
        <x:v>0.7357436693854325</x:v>
      </x:c>
      <x:c r="D44" s="344" t="n">
        <x:f>D43/D32</x:f>
        <x:v>0.7396431677618863</x:v>
      </x:c>
      <x:c r="E44" s="239"/>
      <x:c r="F44" s="239"/>
      <x:c r="G44" s="239"/>
      <x:c r="H44" s="239"/>
      <x:c r="I44" s="239"/>
      <x:c r="J44" s="239"/>
      <x:c r="K44" s="239"/>
      <x:c r="L44" s="239"/>
    </x:row>
    <x:row r="45" ht="15" hidden="0" customHeight="1">
      <x:c r="A45" s="269" t="str">
        <x:v>Operating expense</x:v>
      </x:c>
      <x:c r="B45" s="302" t="n">
        <x:f>'Operating Budget'!B$22*'Assumptions'!I$35</x:f>
        <x:v>123786.25</x:v>
      </x:c>
      <x:c r="C45" s="302" t="n">
        <x:f>'Operating Budget'!C$22*'Assumptions'!J$35</x:f>
        <x:v>164974.875</x:v>
      </x:c>
      <x:c r="D45" s="302" t="n">
        <x:f>'Operating Budget'!D$22*'Assumptions'!K$35</x:f>
        <x:v>227663.5</x:v>
      </x:c>
      <x:c r="E45" s="239"/>
      <x:c r="F45" s="239"/>
      <x:c r="G45" s="239"/>
      <x:c r="H45" s="239"/>
      <x:c r="I45" s="239"/>
      <x:c r="J45" s="239"/>
      <x:c r="K45" s="239"/>
      <x:c r="L45" s="239"/>
    </x:row>
    <x:row r="46" ht="15" hidden="0" customHeight="1">
      <x:c r="A46" s="342" t="str">
        <x:v>Operating contribution</x:v>
      </x:c>
      <x:c r="B46" s="343" t="n">
        <x:f>B43-B45</x:f>
        <x:v>91184</x:v>
      </x:c>
      <x:c r="C46" s="343" t="n">
        <x:f>C43-C45</x:f>
        <x:v>222909.1875</x:v>
      </x:c>
      <x:c r="D46" s="343" t="n">
        <x:f>D43-D45</x:f>
        <x:v>346373.5625</x:v>
      </x:c>
      <x:c r="E46" s="239"/>
      <x:c r="F46" s="239"/>
      <x:c r="G46" s="239"/>
      <x:c r="H46" s="239"/>
      <x:c r="I46" s="239"/>
      <x:c r="J46" s="239"/>
      <x:c r="K46" s="239"/>
      <x:c r="L46" s="239"/>
    </x:row>
    <x:row r="47" ht="15" hidden="0" customHeight="1">
      <x:c r="A47" s="342" t="str">
        <x:v>Contribution margin</x:v>
      </x:c>
      <x:c r="B47" s="344" t="n">
        <x:f>B46/B32</x:f>
        <x:v>0.30951799049558726</x:v>
      </x:c>
      <x:c r="C47" s="344" t="n">
        <x:f>C46/C32</x:f>
        <x:v>0.4228171234825493</x:v>
      </x:c>
      <x:c r="D47" s="344" t="n">
        <x:f>D46/D32</x:f>
        <x:v>0.446300170725422</x:v>
      </x:c>
      <x:c r="E47" s="239"/>
      <x:c r="F47" s="239"/>
      <x:c r="G47" s="239"/>
      <x:c r="H47" s="239"/>
      <x:c r="I47" s="239"/>
      <x:c r="J47" s="239"/>
      <x:c r="K47" s="239"/>
      <x:c r="L47" s="239"/>
    </x:row>
    <x:row r="48" ht="15" hidden="0" customHeight="1">
      <x:c r="A48" s="269" t="str">
        <x:v>Income-tax provision</x:v>
      </x:c>
      <x:c r="B48" s="302" t="n">
        <x:f>MAX(0,B46*'Assumptions'!$I$9)</x:f>
        <x:v>22796</x:v>
      </x:c>
      <x:c r="C48" s="302" t="n">
        <x:f>MAX(0,C46*'Assumptions'!$I$9)</x:f>
        <x:v>55727.296875</x:v>
      </x:c>
      <x:c r="D48" s="302" t="n">
        <x:f>MAX(0,D46*'Assumptions'!$I$9)</x:f>
        <x:v>86593.390625</x:v>
      </x:c>
      <x:c r="E48" s="239"/>
      <x:c r="F48" s="239"/>
      <x:c r="G48" s="239"/>
      <x:c r="H48" s="239"/>
      <x:c r="I48" s="239"/>
      <x:c r="J48" s="239"/>
      <x:c r="K48" s="239"/>
      <x:c r="L48" s="239"/>
    </x:row>
    <x:row r="49" ht="15" hidden="0" customHeight="1">
      <x:c r="A49" s="269" t="str">
        <x:v>After-tax contribution</x:v>
      </x:c>
      <x:c r="B49" s="302" t="n">
        <x:f>B46-B48</x:f>
        <x:v>68388</x:v>
      </x:c>
      <x:c r="C49" s="302" t="n">
        <x:f>C46-C48</x:f>
        <x:v>167181.890625</x:v>
      </x:c>
      <x:c r="D49" s="302" t="n">
        <x:f>D46-D48</x:f>
        <x:v>259780.171875</x:v>
      </x:c>
      <x:c r="E49" s="239"/>
      <x:c r="F49" s="239"/>
      <x:c r="G49" s="239"/>
      <x:c r="H49" s="239"/>
      <x:c r="I49" s="239"/>
      <x:c r="J49" s="239"/>
      <x:c r="K49" s="239"/>
      <x:c r="L49" s="239"/>
    </x:row>
    <x:row r="50" ht="15" hidden="0" customHeight="1">
      <x:c r="A50" s="275" t="str">
        <x:v>Working-capital reserve</x:v>
      </x:c>
      <x:c r="B50" s="309" t="n">
        <x:f>(B45/12*'Assumptions'!$I$14)+(B42/12*'Assumptions'!$I$15)</x:f>
        <x:v>37582.375</x:v>
      </x:c>
      <x:c r="C50" s="309" t="n">
        <x:f>(C45/12*'Assumptions'!$I$14)+(C42/12*'Assumptions'!$I$15)</x:f>
        <x:v>52853.380208333336</x:v>
      </x:c>
      <x:c r="D50" s="309" t="n">
        <x:f>(D45/12*'Assumptions'!$I$14)+(D42/12*'Assumptions'!$I$15)</x:f>
        <x:v>73754.453125</x:v>
      </x:c>
      <x:c r="E50" s="239"/>
      <x:c r="F50" s="239"/>
      <x:c r="G50" s="239"/>
      <x:c r="H50" s="239"/>
      <x:c r="I50" s="239"/>
      <x:c r="J50" s="239"/>
      <x:c r="K50" s="239"/>
      <x:c r="L50" s="239"/>
    </x:row>
    <x:row r="51">
      <x:c r="A51" s="239"/>
      <x:c r="B51" s="239"/>
      <x:c r="C51" s="239"/>
      <x:c r="D51" s="239"/>
      <x:c r="E51" s="239"/>
      <x:c r="F51" s="239"/>
      <x:c r="G51" s="239"/>
      <x:c r="H51" s="239"/>
      <x:c r="I51" s="239"/>
      <x:c r="J51" s="239"/>
      <x:c r="K51" s="239"/>
      <x:c r="L51" s="239"/>
    </x:row>
    <x:row r="52">
      <x:c r="A52" s="239"/>
      <x:c r="B52" s="239"/>
      <x:c r="C52" s="239"/>
      <x:c r="D52" s="239"/>
      <x:c r="E52" s="239"/>
      <x:c r="F52" s="239"/>
      <x:c r="G52" s="239"/>
      <x:c r="H52" s="239"/>
      <x:c r="I52" s="239"/>
      <x:c r="J52" s="239"/>
      <x:c r="K52" s="239"/>
      <x:c r="L52" s="239"/>
    </x:row>
    <x:row r="53">
      <x:c r="A53" s="239"/>
      <x:c r="B53" s="239"/>
      <x:c r="C53" s="239"/>
      <x:c r="D53" s="239"/>
      <x:c r="E53" s="239"/>
      <x:c r="F53" s="239"/>
      <x:c r="G53" s="239"/>
      <x:c r="H53" s="239"/>
      <x:c r="I53" s="239"/>
      <x:c r="J53" s="239"/>
      <x:c r="K53" s="239"/>
      <x:c r="L53" s="239"/>
    </x:row>
    <x:row r="54" ht="15" hidden="0" customHeight="1">
      <x:c r="A54" s="329" t="str">
        <x:v>Upside scenario</x:v>
      </x:c>
      <x:c r="B54" s="11" t="str">
        <x:v>Upside scenario</x:v>
      </x:c>
      <x:c r="C54" s="11" t="str">
        <x:v>Upside scenario</x:v>
      </x:c>
      <x:c r="D54" s="11" t="str">
        <x:v>Upside scenario</x:v>
      </x:c>
      <x:c r="E54" s="239"/>
      <x:c r="F54" s="239"/>
      <x:c r="G54" s="239"/>
      <x:c r="H54" s="239"/>
      <x:c r="I54" s="239"/>
      <x:c r="J54" s="239"/>
      <x:c r="K54" s="239"/>
      <x:c r="L54" s="239"/>
    </x:row>
    <x:row r="55" ht="15" hidden="0" customHeight="1">
      <x:c r="A55" s="335" t="str">
        <x:v>Metric</x:v>
      </x:c>
      <x:c r="B55" s="337" t="str">
        <x:v>Year 1</x:v>
      </x:c>
      <x:c r="C55" s="337" t="str">
        <x:v>Year 2</x:v>
      </x:c>
      <x:c r="D55" s="339" t="str">
        <x:v>Year 3</x:v>
      </x:c>
      <x:c r="E55" s="239"/>
      <x:c r="F55" s="239"/>
      <x:c r="G55" s="239"/>
      <x:c r="H55" s="239"/>
      <x:c r="I55" s="239"/>
      <x:c r="J55" s="239"/>
      <x:c r="K55" s="239"/>
      <x:c r="L55" s="239"/>
    </x:row>
    <x:row r="56" ht="15" hidden="0" customHeight="1">
      <x:c r="A56" s="264" t="str">
        <x:v>Revenue</x:v>
      </x:c>
      <x:c r="B56" s="298" t="n">
        <x:f>SUMPRODUCT('Assumptions'!$C$24:$C$29,'Assumptions'!$O$24:$O$29)</x:f>
        <x:v>411200</x:v>
      </x:c>
      <x:c r="C56" s="298" t="n">
        <x:f>SUMPRODUCT('Assumptions'!$C$24:$C$29,'Assumptions'!$P$24:$P$29)</x:f>
        <x:v>807000</x:v>
      </x:c>
      <x:c r="D56" s="298" t="n">
        <x:f>SUMPRODUCT('Assumptions'!$C$24:$C$29,'Assumptions'!$Q$24:$Q$29)</x:f>
        <x:v>1235200</x:v>
      </x:c>
      <x:c r="E56" s="239"/>
      <x:c r="F56" s="239"/>
      <x:c r="G56" s="239"/>
      <x:c r="H56" s="239"/>
      <x:c r="I56" s="239"/>
      <x:c r="J56" s="239"/>
      <x:c r="K56" s="239"/>
      <x:c r="L56" s="239"/>
    </x:row>
    <x:row r="57" ht="15" hidden="0" customHeight="1">
      <x:c r="A57" s="269" t="str">
        <x:v>YoY growth</x:v>
      </x:c>
      <x:c r="B57" s="300"/>
      <x:c r="C57" s="300" t="n">
        <x:f>C56/B56-1</x:f>
        <x:v>0.9625486381322956</x:v>
      </x:c>
      <x:c r="D57" s="300" t="n">
        <x:f>D56/C56-1</x:f>
        <x:v>0.5306071871127633</x:v>
      </x:c>
      <x:c r="E57" s="239"/>
      <x:c r="F57" s="239"/>
      <x:c r="G57" s="239"/>
      <x:c r="H57" s="239"/>
      <x:c r="I57" s="239"/>
      <x:c r="J57" s="239"/>
      <x:c r="K57" s="239"/>
      <x:c r="L57" s="239"/>
    </x:row>
    <x:row r="58" ht="15" hidden="0" customHeight="1">
      <x:c r="A58" s="269" t="str">
        <x:v>Consultant delivery hours</x:v>
      </x:c>
      <x:c r="B58" s="301" t="n">
        <x:f>SUMPRODUCT('Assumptions'!$D$24:$D$29,'Assumptions'!$O$24:$O$29)</x:f>
        <x:v>670</x:v>
      </x:c>
      <x:c r="C58" s="301" t="n">
        <x:f>SUMPRODUCT('Assumptions'!$D$24:$D$29,'Assumptions'!$P$24:$P$29)</x:f>
        <x:v>1236</x:v>
      </x:c>
      <x:c r="D58" s="301" t="n">
        <x:f>SUMPRODUCT('Assumptions'!$D$24:$D$29,'Assumptions'!$Q$24:$Q$29)</x:f>
        <x:v>1808</x:v>
      </x:c>
      <x:c r="E58" s="239"/>
      <x:c r="F58" s="239"/>
      <x:c r="G58" s="239"/>
      <x:c r="H58" s="239"/>
      <x:c r="I58" s="239"/>
      <x:c r="J58" s="239"/>
      <x:c r="K58" s="239"/>
      <x:c r="L58" s="239"/>
    </x:row>
    <x:row r="59" ht="15" hidden="0" customHeight="1">
      <x:c r="A59" s="269" t="str">
        <x:v>Offshore developer hours</x:v>
      </x:c>
      <x:c r="B59" s="301" t="n">
        <x:f>SUMPRODUCT('Assumptions'!$E$24:$E$29,'Assumptions'!$O$24:$O$29)</x:f>
        <x:v>536</x:v>
      </x:c>
      <x:c r="C59" s="301" t="n">
        <x:f>SUMPRODUCT('Assumptions'!$E$24:$E$29,'Assumptions'!$P$24:$P$29)</x:f>
        <x:v>1102</x:v>
      </x:c>
      <x:c r="D59" s="301" t="n">
        <x:f>SUMPRODUCT('Assumptions'!$E$24:$E$29,'Assumptions'!$Q$24:$Q$29)</x:f>
        <x:v>1728</x:v>
      </x:c>
      <x:c r="E59" s="239"/>
      <x:c r="F59" s="239"/>
      <x:c r="G59" s="239"/>
      <x:c r="H59" s="239"/>
      <x:c r="I59" s="239"/>
      <x:c r="J59" s="239"/>
      <x:c r="K59" s="239"/>
      <x:c r="L59" s="239"/>
    </x:row>
    <x:row r="60" ht="15" hidden="0" customHeight="1">
      <x:c r="A60" s="269" t="str">
        <x:v>Consultant labour</x:v>
      </x:c>
      <x:c r="B60" s="302" t="n">
        <x:f>B58*'Assumptions'!$B$7</x:f>
        <x:v>53600</x:v>
      </x:c>
      <x:c r="C60" s="302" t="n">
        <x:f>C58*'Assumptions'!$B$7</x:f>
        <x:v>98880</x:v>
      </x:c>
      <x:c r="D60" s="302" t="n">
        <x:f>D58*'Assumptions'!$B$7</x:f>
        <x:v>144640</x:v>
      </x:c>
      <x:c r="E60" s="239"/>
      <x:c r="F60" s="239"/>
      <x:c r="G60" s="239"/>
      <x:c r="H60" s="239"/>
      <x:c r="I60" s="239"/>
      <x:c r="J60" s="239"/>
      <x:c r="K60" s="239"/>
      <x:c r="L60" s="239"/>
    </x:row>
    <x:row r="61" ht="15" hidden="0" customHeight="1">
      <x:c r="A61" s="269" t="str">
        <x:v>Offshore developer fees</x:v>
      </x:c>
      <x:c r="B61" s="302" t="n">
        <x:f>B59*'Assumptions'!$B$8</x:f>
        <x:v>16080</x:v>
      </x:c>
      <x:c r="C61" s="302" t="n">
        <x:f>C59*'Assumptions'!$B$8</x:f>
        <x:v>33060</x:v>
      </x:c>
      <x:c r="D61" s="302" t="n">
        <x:f>D59*'Assumptions'!$B$8</x:f>
        <x:v>51840</x:v>
      </x:c>
      <x:c r="E61" s="239"/>
      <x:c r="F61" s="239"/>
      <x:c r="G61" s="239"/>
      <x:c r="H61" s="239"/>
      <x:c r="I61" s="239"/>
      <x:c r="J61" s="239"/>
      <x:c r="K61" s="239"/>
      <x:c r="L61" s="239"/>
    </x:row>
    <x:row r="62" ht="15" hidden="0" customHeight="1">
      <x:c r="A62" s="269" t="str">
        <x:v>Offshore execution uplift</x:v>
      </x:c>
      <x:c r="B62" s="302" t="n">
        <x:f>B61*'Assumptions'!$B$14</x:f>
        <x:v>4020</x:v>
      </x:c>
      <x:c r="C62" s="302" t="n">
        <x:f>C61*'Assumptions'!$B$14</x:f>
        <x:v>8265</x:v>
      </x:c>
      <x:c r="D62" s="302" t="n">
        <x:f>D61*'Assumptions'!$B$14</x:f>
        <x:v>12960</x:v>
      </x:c>
      <x:c r="E62" s="239"/>
      <x:c r="F62" s="239"/>
      <x:c r="G62" s="239"/>
      <x:c r="H62" s="239"/>
      <x:c r="I62" s="239"/>
      <x:c r="J62" s="239"/>
      <x:c r="K62" s="239"/>
      <x:c r="L62" s="239"/>
    </x:row>
    <x:row r="63" ht="15" hidden="0" customHeight="1">
      <x:c r="A63" s="269" t="str">
        <x:v>Direct non-labour</x:v>
      </x:c>
      <x:c r="B63" s="302" t="n">
        <x:f>SUMPRODUCT('Assumptions'!$F$24:$F$29,'Assumptions'!$O$24:$O$29)</x:f>
        <x:v>14900</x:v>
      </x:c>
      <x:c r="C63" s="302" t="n">
        <x:f>SUMPRODUCT('Assumptions'!$F$24:$F$29,'Assumptions'!$P$24:$P$29)</x:f>
        <x:v>29200</x:v>
      </x:c>
      <x:c r="D63" s="302" t="n">
        <x:f>SUMPRODUCT('Assumptions'!$F$24:$F$29,'Assumptions'!$Q$24:$Q$29)</x:f>
        <x:v>44400</x:v>
      </x:c>
      <x:c r="E63" s="239"/>
      <x:c r="F63" s="239"/>
      <x:c r="G63" s="239"/>
      <x:c r="H63" s="239"/>
      <x:c r="I63" s="239"/>
      <x:c r="J63" s="239"/>
      <x:c r="K63" s="239"/>
      <x:c r="L63" s="239"/>
    </x:row>
    <x:row r="64" ht="15" hidden="0" customHeight="1">
      <x:c r="A64" s="269" t="str">
        <x:v>Payment and collection costs</x:v>
      </x:c>
      <x:c r="B64" s="302" t="n">
        <x:f>B56*'Assumptions'!$B$16</x:f>
        <x:v>4112</x:v>
      </x:c>
      <x:c r="C64" s="302" t="n">
        <x:f>C56*'Assumptions'!$B$16</x:f>
        <x:v>8070</x:v>
      </x:c>
      <x:c r="D64" s="302" t="n">
        <x:f>D56*'Assumptions'!$B$16</x:f>
        <x:v>12352</x:v>
      </x:c>
      <x:c r="E64" s="239"/>
      <x:c r="F64" s="239"/>
      <x:c r="G64" s="239"/>
      <x:c r="H64" s="239"/>
      <x:c r="I64" s="239"/>
      <x:c r="J64" s="239"/>
      <x:c r="K64" s="239"/>
      <x:c r="L64" s="239"/>
    </x:row>
    <x:row r="65" ht="15" hidden="0" customHeight="1">
      <x:c r="A65" s="269" t="str">
        <x:v>Delivery contingency</x:v>
      </x:c>
      <x:c r="B65" s="302" t="n">
        <x:f>SUM(B60:B63)*'Assumptions'!$B$15</x:f>
        <x:v>8860</x:v>
      </x:c>
      <x:c r="C65" s="302" t="n">
        <x:f>SUM(C60:C63)*'Assumptions'!$B$15</x:f>
        <x:v>16940.5</x:v>
      </x:c>
      <x:c r="D65" s="302" t="n">
        <x:f>SUM(D60:D63)*'Assumptions'!$B$15</x:f>
        <x:v>25384</x:v>
      </x:c>
      <x:c r="E65" s="239"/>
      <x:c r="F65" s="239"/>
      <x:c r="G65" s="239"/>
      <x:c r="H65" s="239"/>
      <x:c r="I65" s="239"/>
      <x:c r="J65" s="239"/>
      <x:c r="K65" s="239"/>
      <x:c r="L65" s="239"/>
    </x:row>
    <x:row r="66" ht="15" hidden="0" customHeight="1">
      <x:c r="A66" s="269" t="str">
        <x:v>Total direct cost</x:v>
      </x:c>
      <x:c r="B66" s="302" t="n">
        <x:f>SUM(B60:B65)</x:f>
        <x:v>101572</x:v>
      </x:c>
      <x:c r="C66" s="302" t="n">
        <x:f>SUM(C60:C65)</x:f>
        <x:v>194415.5</x:v>
      </x:c>
      <x:c r="D66" s="302" t="n">
        <x:f>SUM(D60:D65)</x:f>
        <x:v>291576</x:v>
      </x:c>
      <x:c r="E66" s="239"/>
      <x:c r="F66" s="239"/>
      <x:c r="G66" s="239"/>
      <x:c r="H66" s="239"/>
      <x:c r="I66" s="239"/>
      <x:c r="J66" s="239"/>
      <x:c r="K66" s="239"/>
      <x:c r="L66" s="239"/>
    </x:row>
    <x:row r="67" ht="15" hidden="0" customHeight="1">
      <x:c r="A67" s="342" t="str">
        <x:v>Gross profit</x:v>
      </x:c>
      <x:c r="B67" s="343" t="n">
        <x:f>B56-B66</x:f>
        <x:v>309628</x:v>
      </x:c>
      <x:c r="C67" s="343" t="n">
        <x:f>C56-C66</x:f>
        <x:v>612584.5</x:v>
      </x:c>
      <x:c r="D67" s="343" t="n">
        <x:f>D56-D66</x:f>
        <x:v>943624</x:v>
      </x:c>
      <x:c r="E67" s="239"/>
      <x:c r="F67" s="239"/>
      <x:c r="G67" s="239"/>
      <x:c r="H67" s="239"/>
      <x:c r="I67" s="239"/>
      <x:c r="J67" s="239"/>
      <x:c r="K67" s="239"/>
      <x:c r="L67" s="239"/>
    </x:row>
    <x:row r="68" ht="15" hidden="0" customHeight="1">
      <x:c r="A68" s="342" t="str">
        <x:v>Gross margin</x:v>
      </x:c>
      <x:c r="B68" s="344" t="n">
        <x:f>B67/B56</x:f>
        <x:v>0.7529863813229571</x:v>
      </x:c>
      <x:c r="C68" s="344" t="n">
        <x:f>C67/C56</x:f>
        <x:v>0.7590885997521686</x:v>
      </x:c>
      <x:c r="D68" s="344" t="n">
        <x:f>D67/D56</x:f>
        <x:v>0.7639443005181347</x:v>
      </x:c>
      <x:c r="E68" s="239"/>
      <x:c r="F68" s="239"/>
      <x:c r="G68" s="239"/>
      <x:c r="H68" s="239"/>
      <x:c r="I68" s="239"/>
      <x:c r="J68" s="239"/>
      <x:c r="K68" s="239"/>
      <x:c r="L68" s="239"/>
    </x:row>
    <x:row r="69" ht="15" hidden="0" customHeight="1">
      <x:c r="A69" s="269" t="str">
        <x:v>Operating expense</x:v>
      </x:c>
      <x:c r="B69" s="302" t="n">
        <x:f>'Operating Budget'!B$22*'Assumptions'!I$36</x:f>
        <x:v>148543.5</x:v>
      </x:c>
      <x:c r="C69" s="302" t="n">
        <x:f>'Operating Budget'!C$22*'Assumptions'!J$36</x:f>
        <x:v>222716.08125000002</x:v>
      </x:c>
      <x:c r="D69" s="302" t="n">
        <x:f>'Operating Budget'!D$22*'Assumptions'!K$36</x:f>
        <x:v>330112.075</x:v>
      </x:c>
      <x:c r="E69" s="239"/>
      <x:c r="F69" s="239"/>
      <x:c r="G69" s="239"/>
      <x:c r="H69" s="239"/>
      <x:c r="I69" s="239"/>
      <x:c r="J69" s="239"/>
      <x:c r="K69" s="239"/>
      <x:c r="L69" s="239"/>
    </x:row>
    <x:row r="70" ht="15" hidden="0" customHeight="1">
      <x:c r="A70" s="342" t="str">
        <x:v>Operating contribution</x:v>
      </x:c>
      <x:c r="B70" s="343" t="n">
        <x:f>B67-B69</x:f>
        <x:v>161084.5</x:v>
      </x:c>
      <x:c r="C70" s="343" t="n">
        <x:f>C67-C69</x:f>
        <x:v>389868.41874999995</x:v>
      </x:c>
      <x:c r="D70" s="343" t="n">
        <x:f>D67-D69</x:f>
        <x:v>613511.925</x:v>
      </x:c>
      <x:c r="E70" s="239"/>
      <x:c r="F70" s="239"/>
      <x:c r="G70" s="239"/>
      <x:c r="H70" s="239"/>
      <x:c r="I70" s="239"/>
      <x:c r="J70" s="239"/>
      <x:c r="K70" s="239"/>
      <x:c r="L70" s="239"/>
    </x:row>
    <x:row r="71" ht="15" hidden="0" customHeight="1">
      <x:c r="A71" s="342" t="str">
        <x:v>Contribution margin</x:v>
      </x:c>
      <x:c r="B71" s="344" t="n">
        <x:f>B70/B56</x:f>
        <x:v>0.3917424610894942</x:v>
      </x:c>
      <x:c r="C71" s="344" t="n">
        <x:f>C70/C56</x:f>
        <x:v>0.4831083255885997</x:v>
      </x:c>
      <x:c r="D71" s="344" t="n">
        <x:f>D70/D56</x:f>
        <x:v>0.4966903537888601</x:v>
      </x:c>
      <x:c r="E71" s="239"/>
      <x:c r="F71" s="239"/>
      <x:c r="G71" s="239"/>
      <x:c r="H71" s="239"/>
      <x:c r="I71" s="239"/>
      <x:c r="J71" s="239"/>
      <x:c r="K71" s="239"/>
      <x:c r="L71" s="239"/>
    </x:row>
    <x:row r="72" ht="15" hidden="0" customHeight="1">
      <x:c r="A72" s="269" t="str">
        <x:v>Income-tax provision</x:v>
      </x:c>
      <x:c r="B72" s="302" t="n">
        <x:f>MAX(0,B70*'Assumptions'!$I$9)</x:f>
        <x:v>40271.125</x:v>
      </x:c>
      <x:c r="C72" s="302" t="n">
        <x:f>MAX(0,C70*'Assumptions'!$I$9)</x:f>
        <x:v>97467.10468749999</x:v>
      </x:c>
      <x:c r="D72" s="302" t="n">
        <x:f>MAX(0,D70*'Assumptions'!$I$9)</x:f>
        <x:v>153377.98125</x:v>
      </x:c>
      <x:c r="E72" s="239"/>
      <x:c r="F72" s="239"/>
      <x:c r="G72" s="239"/>
      <x:c r="H72" s="239"/>
      <x:c r="I72" s="239"/>
      <x:c r="J72" s="239"/>
      <x:c r="K72" s="239"/>
      <x:c r="L72" s="239"/>
    </x:row>
    <x:row r="73" ht="15" hidden="0" customHeight="1">
      <x:c r="A73" s="269" t="str">
        <x:v>After-tax contribution</x:v>
      </x:c>
      <x:c r="B73" s="302" t="n">
        <x:f>B70-B72</x:f>
        <x:v>120813.375</x:v>
      </x:c>
      <x:c r="C73" s="302" t="n">
        <x:f>C70-C72</x:f>
        <x:v>292401.31406249997</x:v>
      </x:c>
      <x:c r="D73" s="302" t="n">
        <x:f>D70-D72</x:f>
        <x:v>460133.94375000003</x:v>
      </x:c>
      <x:c r="E73" s="239"/>
      <x:c r="F73" s="239"/>
      <x:c r="G73" s="239"/>
      <x:c r="H73" s="239"/>
      <x:c r="I73" s="239"/>
      <x:c r="J73" s="239"/>
      <x:c r="K73" s="239"/>
      <x:c r="L73" s="239"/>
    </x:row>
    <x:row r="74" ht="15" hidden="0" customHeight="1">
      <x:c r="A74" s="275" t="str">
        <x:v>Working-capital reserve</x:v>
      </x:c>
      <x:c r="B74" s="309" t="n">
        <x:f>(B69/12*'Assumptions'!$I$14)+(B66/12*'Assumptions'!$I$15)</x:f>
        <x:v>45600.208333333336</x:v>
      </x:c>
      <x:c r="C74" s="309" t="n">
        <x:f>(C69/12*'Assumptions'!$I$14)+(C66/12*'Assumptions'!$I$15)</x:f>
        <x:v>71880.31197916667</x:v>
      </x:c>
      <x:c r="D74" s="309" t="n">
        <x:f>(D69/12*'Assumptions'!$I$14)+(D66/12*'Assumptions'!$I$15)</x:f>
        <x:v>106826.01875</x:v>
      </x:c>
      <x:c r="E74" s="239"/>
      <x:c r="F74" s="239"/>
      <x:c r="G74" s="239"/>
      <x:c r="H74" s="239"/>
      <x:c r="I74" s="239"/>
      <x:c r="J74" s="239"/>
      <x:c r="K74" s="239"/>
      <x:c r="L74" s="239"/>
    </x:row>
    <x:row r="75"/>
    <x:row r="76"/>
    <x:row r="77"/>
  </x:sheetData>
  <x:mergeCells>
    <x:mergeCell ref="A1:L1"/>
    <x:mergeCell ref="A2:L3"/>
    <x:mergeCell ref="A6:D6"/>
    <x:mergeCell ref="A30:D30"/>
    <x:mergeCell ref="A54:D54"/>
    <x:mergeCell ref="F6:I6"/>
    <x:mergeCell ref="F32:I32"/>
  </x:mergeCells>
  <x:pageMargins left="0.7" right="0.7" top="0.75" bottom="0.75" header="0.3" footer="0.3"/>
  <x:drawing xmlns:r="http://schemas.openxmlformats.org/officeDocument/2006/relationships" r:id="R6ada9b5e1e4e48e7"/>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3" hidden="0" customWidth="1"/>
  </x:cols>
  <x:sheetData>
    <x:row r="1" ht="21.600000381469727" hidden="0" customHeight="1">
      <x:c r="A1" s="328" t="str">
        <x:v>Base Case — Quarterly Revenue, Margin and Capacity</x:v>
      </x:c>
      <x:c r="B1" s="4" t="str">
        <x:v>Base Case — Quarterly Revenue, Margin and Capacity</x:v>
      </x:c>
      <x:c r="C1" s="4" t="str">
        <x:v>Base Case — Quarterly Revenue, Margin and Capacity</x:v>
      </x:c>
      <x:c r="D1" s="4" t="str">
        <x:v>Base Case — Quarterly Revenue, Margin and Capacity</x:v>
      </x:c>
      <x:c r="E1" s="4" t="str">
        <x:v>Base Case — Quarterly Revenue, Margin and Capacity</x:v>
      </x:c>
      <x:c r="F1" s="4" t="str">
        <x:v>Base Case — Quarterly Revenue, Margin and Capacity</x:v>
      </x:c>
      <x:c r="G1" s="4" t="str">
        <x:v>Base Case — Quarterly Revenue, Margin and Capacity</x:v>
      </x:c>
      <x:c r="H1" s="4" t="str">
        <x:v>Base Case — Quarterly Revenue, Margin and Capacity</x:v>
      </x:c>
      <x:c r="I1" s="4" t="str">
        <x:v>Base Case — Quarterly Revenue, Margin and Capacity</x:v>
      </x:c>
      <x:c r="J1" s="4" t="str">
        <x:v>Base Case — Quarterly Revenue, Margin and Capacity</x:v>
      </x:c>
      <x:c r="K1" s="4" t="str">
        <x:v>Base Case — Quarterly Revenue, Margin and Capacity</x:v>
      </x:c>
      <x:c r="L1" s="4" t="str">
        <x:v>Base Case — Quarterly Revenue, Margin and Capacity</x:v>
      </x:c>
      <x:c r="M1" s="4" t="str">
        <x:v>Base Case — Quarterly Revenue, Margin and Capacity</x:v>
      </x:c>
      <x:c r="N1" s="4" t="str">
        <x:v>Base Case — Quarterly Revenue, Margin and Capacity</x:v>
      </x:c>
    </x:row>
    <x:row r="2">
      <x:c r="A2" s="244" t="str">
        <x:v>Quarterly revenue, direct cost and delivery hours follow editable seasonality weights. Operating expense is spread evenly across each year. Hiring gates are indicative and should be confirmed against signed backlog, role mix and delivery quality.</x:v>
      </x:c>
      <x:c r="B2" s="244"/>
      <x:c r="C2" s="244"/>
      <x:c r="D2" s="244"/>
      <x:c r="E2" s="244"/>
      <x:c r="F2" s="244"/>
      <x:c r="G2" s="244"/>
      <x:c r="H2" s="244"/>
      <x:c r="I2" s="244"/>
      <x:c r="J2" s="244"/>
      <x:c r="K2" s="244"/>
      <x:c r="L2" s="244"/>
      <x:c r="M2" s="244"/>
      <x:c r="N2" s="244"/>
    </x:row>
    <x:row r="3">
      <x:c r="A3" s="244"/>
      <x:c r="B3" s="244"/>
      <x:c r="C3" s="244"/>
      <x:c r="D3" s="244"/>
      <x:c r="E3" s="244"/>
      <x:c r="F3" s="244"/>
      <x:c r="G3" s="244"/>
      <x:c r="H3" s="244"/>
      <x:c r="I3" s="244"/>
      <x:c r="J3" s="244"/>
      <x:c r="K3" s="244"/>
      <x:c r="L3" s="244"/>
      <x:c r="M3" s="244"/>
      <x:c r="N3" s="244"/>
    </x:row>
    <x:row r="4">
      <x:c r="A4" s="239"/>
      <x:c r="B4" s="239"/>
      <x:c r="C4" s="239"/>
      <x:c r="D4" s="239"/>
      <x:c r="E4" s="239"/>
      <x:c r="F4" s="239"/>
      <x:c r="G4" s="239"/>
      <x:c r="H4" s="239"/>
      <x:c r="I4" s="239"/>
      <x:c r="J4" s="239"/>
      <x:c r="K4" s="239"/>
      <x:c r="L4" s="239"/>
      <x:c r="M4" s="239"/>
      <x:c r="N4" s="239"/>
    </x:row>
    <x:row r="5" ht="15" hidden="0" customHeight="1">
      <x:c r="A5" s="335" t="str">
        <x:v>Metric</x:v>
      </x:c>
      <x:c r="B5" s="337" t="str">
        <x:v>Y1 Q1</x:v>
      </x:c>
      <x:c r="C5" s="337" t="str">
        <x:v>Y1 Q2</x:v>
      </x:c>
      <x:c r="D5" s="337" t="str">
        <x:v>Y1 Q3</x:v>
      </x:c>
      <x:c r="E5" s="337" t="str">
        <x:v>Y1 Q4</x:v>
      </x:c>
      <x:c r="F5" s="337" t="str">
        <x:v>Y2 Q1</x:v>
      </x:c>
      <x:c r="G5" s="337" t="str">
        <x:v>Y2 Q2</x:v>
      </x:c>
      <x:c r="H5" s="337" t="str">
        <x:v>Y2 Q3</x:v>
      </x:c>
      <x:c r="I5" s="337" t="str">
        <x:v>Y2 Q4</x:v>
      </x:c>
      <x:c r="J5" s="337" t="str">
        <x:v>Y3 Q1</x:v>
      </x:c>
      <x:c r="K5" s="337" t="str">
        <x:v>Y3 Q2</x:v>
      </x:c>
      <x:c r="L5" s="337" t="str">
        <x:v>Y3 Q3</x:v>
      </x:c>
      <x:c r="M5" s="339" t="str">
        <x:v>Y3 Q4</x:v>
      </x:c>
      <x:c r="N5" s="239"/>
    </x:row>
    <x:row r="6" ht="15" hidden="0" customHeight="1">
      <x:c r="A6" s="239" t="str">
        <x:v>Seasonality weight</x:v>
      </x:c>
      <x:c r="B6" s="243" t="n">
        <x:f>'Assumptions'!I$40</x:f>
        <x:v>0.18</x:v>
      </x:c>
      <x:c r="C6" s="243" t="n">
        <x:f>'Assumptions'!J$40</x:f>
        <x:v>0.22</x:v>
      </x:c>
      <x:c r="D6" s="243" t="n">
        <x:f>'Assumptions'!K$40</x:f>
        <x:v>0.27</x:v>
      </x:c>
      <x:c r="E6" s="243" t="n">
        <x:f>'Assumptions'!L$40</x:f>
        <x:v>0.33</x:v>
      </x:c>
      <x:c r="F6" s="243" t="n">
        <x:f>'Assumptions'!I$41</x:f>
        <x:v>0.22</x:v>
      </x:c>
      <x:c r="G6" s="243" t="n">
        <x:f>'Assumptions'!J$41</x:f>
        <x:v>0.24</x:v>
      </x:c>
      <x:c r="H6" s="243" t="n">
        <x:f>'Assumptions'!K$41</x:f>
        <x:v>0.26</x:v>
      </x:c>
      <x:c r="I6" s="243" t="n">
        <x:f>'Assumptions'!L$41</x:f>
        <x:v>0.28</x:v>
      </x:c>
      <x:c r="J6" s="243" t="n">
        <x:f>'Assumptions'!I$42</x:f>
        <x:v>0.23</x:v>
      </x:c>
      <x:c r="K6" s="243" t="n">
        <x:f>'Assumptions'!J$42</x:f>
        <x:v>0.24</x:v>
      </x:c>
      <x:c r="L6" s="243" t="n">
        <x:f>'Assumptions'!K$42</x:f>
        <x:v>0.25</x:v>
      </x:c>
      <x:c r="M6" s="243" t="n">
        <x:f>'Assumptions'!L$42</x:f>
        <x:v>0.28</x:v>
      </x:c>
      <x:c r="N6" s="239"/>
    </x:row>
    <x:row r="7" ht="15" hidden="0" customHeight="1">
      <x:c r="A7" s="239" t="str">
        <x:v>Revenue</x:v>
      </x:c>
      <x:c r="B7" s="242" t="n">
        <x:f>'Scenario Forecast'!B$32*B$6</x:f>
        <x:v>53028</x:v>
      </x:c>
      <x:c r="C7" s="242" t="n">
        <x:f>'Scenario Forecast'!B$32*C$6</x:f>
        <x:v>64812</x:v>
      </x:c>
      <x:c r="D7" s="242" t="n">
        <x:f>'Scenario Forecast'!B$32*D$6</x:f>
        <x:v>79542</x:v>
      </x:c>
      <x:c r="E7" s="242" t="n">
        <x:f>'Scenario Forecast'!B$32*E$6</x:f>
        <x:v>97218</x:v>
      </x:c>
      <x:c r="F7" s="242" t="n">
        <x:f>'Scenario Forecast'!C$32*F$6</x:f>
        <x:v>115984</x:v>
      </x:c>
      <x:c r="G7" s="242" t="n">
        <x:f>'Scenario Forecast'!C$32*G$6</x:f>
        <x:v>126528</x:v>
      </x:c>
      <x:c r="H7" s="242" t="n">
        <x:f>'Scenario Forecast'!C$32*H$6</x:f>
        <x:v>137072</x:v>
      </x:c>
      <x:c r="I7" s="242" t="n">
        <x:f>'Scenario Forecast'!C$32*I$6</x:f>
        <x:v>147616</x:v>
      </x:c>
      <x:c r="J7" s="242" t="n">
        <x:f>'Scenario Forecast'!D$32*J$6</x:f>
        <x:v>178503</x:v>
      </x:c>
      <x:c r="K7" s="242" t="n">
        <x:f>'Scenario Forecast'!D$32*K$6</x:f>
        <x:v>186264</x:v>
      </x:c>
      <x:c r="L7" s="242" t="n">
        <x:f>'Scenario Forecast'!D$32*L$6</x:f>
        <x:v>194025</x:v>
      </x:c>
      <x:c r="M7" s="242" t="n">
        <x:f>'Scenario Forecast'!D$32*M$6</x:f>
        <x:v>217308.00000000003</x:v>
      </x:c>
      <x:c r="N7" s="239"/>
    </x:row>
    <x:row r="8" ht="15" hidden="0" customHeight="1">
      <x:c r="A8" s="239" t="str">
        <x:v>Direct cost</x:v>
      </x:c>
      <x:c r="B8" s="242" t="n">
        <x:f>'Scenario Forecast'!B$42*B$6</x:f>
        <x:v>14333.355</x:v>
      </x:c>
      <x:c r="C8" s="242" t="n">
        <x:f>'Scenario Forecast'!B$42*C$6</x:f>
        <x:v>17518.545000000002</x:v>
      </x:c>
      <x:c r="D8" s="242" t="n">
        <x:f>'Scenario Forecast'!B$42*D$6</x:f>
        <x:v>21500.0325</x:v>
      </x:c>
      <x:c r="E8" s="242" t="n">
        <x:f>'Scenario Forecast'!B$42*E$6</x:f>
        <x:v>26277.8175</x:v>
      </x:c>
      <x:c r="F8" s="242" t="n">
        <x:f>'Scenario Forecast'!C$42*F$6</x:f>
        <x:v>30649.50625</x:v>
      </x:c>
      <x:c r="G8" s="242" t="n">
        <x:f>'Scenario Forecast'!C$42*G$6</x:f>
        <x:v>33435.825</x:v>
      </x:c>
      <x:c r="H8" s="242" t="n">
        <x:f>'Scenario Forecast'!C$42*H$6</x:f>
        <x:v>36222.14375</x:v>
      </x:c>
      <x:c r="I8" s="242" t="n">
        <x:f>'Scenario Forecast'!C$42*I$6</x:f>
        <x:v>39008.4625</x:v>
      </x:c>
      <x:c r="J8" s="242" t="n">
        <x:f>'Scenario Forecast'!D$42*J$6</x:f>
        <x:v>46474.475625</x:v>
      </x:c>
      <x:c r="K8" s="242" t="n">
        <x:f>'Scenario Forecast'!D$42*K$6</x:f>
        <x:v>48495.104999999996</x:v>
      </x:c>
      <x:c r="L8" s="242" t="n">
        <x:f>'Scenario Forecast'!D$42*L$6</x:f>
        <x:v>50515.734375</x:v>
      </x:c>
      <x:c r="M8" s="242" t="n">
        <x:f>'Scenario Forecast'!D$42*M$6</x:f>
        <x:v>56577.622500000005</x:v>
      </x:c>
      <x:c r="N8" s="239"/>
    </x:row>
    <x:row r="9" ht="15" hidden="0" customHeight="1">
      <x:c r="A9" s="239" t="str">
        <x:v>Gross profit</x:v>
      </x:c>
      <x:c r="B9" s="242" t="n">
        <x:f>B7-B8</x:f>
        <x:v>38694.645000000004</x:v>
      </x:c>
      <x:c r="C9" s="242" t="n">
        <x:f>C7-C8</x:f>
        <x:v>47293.455</x:v>
      </x:c>
      <x:c r="D9" s="242" t="n">
        <x:f>D7-D8</x:f>
        <x:v>58041.9675</x:v>
      </x:c>
      <x:c r="E9" s="242" t="n">
        <x:f>E7-E8</x:f>
        <x:v>70940.1825</x:v>
      </x:c>
      <x:c r="F9" s="242" t="n">
        <x:f>F7-F8</x:f>
        <x:v>85334.49375</x:v>
      </x:c>
      <x:c r="G9" s="242" t="n">
        <x:f>G7-G8</x:f>
        <x:v>93092.175</x:v>
      </x:c>
      <x:c r="H9" s="242" t="n">
        <x:f>H7-H8</x:f>
        <x:v>100849.85625</x:v>
      </x:c>
      <x:c r="I9" s="242" t="n">
        <x:f>I7-I8</x:f>
        <x:v>108607.5375</x:v>
      </x:c>
      <x:c r="J9" s="242" t="n">
        <x:f>J7-J8</x:f>
        <x:v>132028.524375</x:v>
      </x:c>
      <x:c r="K9" s="242" t="n">
        <x:f>K7-K8</x:f>
        <x:v>137768.89500000002</x:v>
      </x:c>
      <x:c r="L9" s="242" t="n">
        <x:f>L7-L8</x:f>
        <x:v>143509.265625</x:v>
      </x:c>
      <x:c r="M9" s="242" t="n">
        <x:f>M7-M8</x:f>
        <x:v>160730.37750000003</x:v>
      </x:c>
      <x:c r="N9" s="239"/>
    </x:row>
    <x:row r="10" ht="15" hidden="0" customHeight="1">
      <x:c r="A10" s="239" t="str">
        <x:v>Operating expense</x:v>
      </x:c>
      <x:c r="B10" s="242" t="n">
        <x:f>'Scenario Forecast'!B$45/4</x:f>
        <x:v>30946.5625</x:v>
      </x:c>
      <x:c r="C10" s="242" t="n">
        <x:f>'Scenario Forecast'!B$45/4</x:f>
        <x:v>30946.5625</x:v>
      </x:c>
      <x:c r="D10" s="242" t="n">
        <x:f>'Scenario Forecast'!B$45/4</x:f>
        <x:v>30946.5625</x:v>
      </x:c>
      <x:c r="E10" s="242" t="n">
        <x:f>'Scenario Forecast'!B$45/4</x:f>
        <x:v>30946.5625</x:v>
      </x:c>
      <x:c r="F10" s="242" t="n">
        <x:f>'Scenario Forecast'!C$45/4</x:f>
        <x:v>41243.71875</x:v>
      </x:c>
      <x:c r="G10" s="242" t="n">
        <x:f>'Scenario Forecast'!C$45/4</x:f>
        <x:v>41243.71875</x:v>
      </x:c>
      <x:c r="H10" s="242" t="n">
        <x:f>'Scenario Forecast'!C$45/4</x:f>
        <x:v>41243.71875</x:v>
      </x:c>
      <x:c r="I10" s="242" t="n">
        <x:f>'Scenario Forecast'!C$45/4</x:f>
        <x:v>41243.71875</x:v>
      </x:c>
      <x:c r="J10" s="242" t="n">
        <x:f>'Scenario Forecast'!D$45/4</x:f>
        <x:v>56915.875</x:v>
      </x:c>
      <x:c r="K10" s="242" t="n">
        <x:f>'Scenario Forecast'!D$45/4</x:f>
        <x:v>56915.875</x:v>
      </x:c>
      <x:c r="L10" s="242" t="n">
        <x:f>'Scenario Forecast'!D$45/4</x:f>
        <x:v>56915.875</x:v>
      </x:c>
      <x:c r="M10" s="242" t="n">
        <x:f>'Scenario Forecast'!D$45/4</x:f>
        <x:v>56915.875</x:v>
      </x:c>
      <x:c r="N10" s="239"/>
    </x:row>
    <x:row r="11" ht="15" hidden="0" customHeight="1">
      <x:c r="A11" s="239" t="str">
        <x:v>Operating contribution</x:v>
      </x:c>
      <x:c r="B11" s="242" t="n">
        <x:f>B9-B10</x:f>
        <x:v>7748.082500000004</x:v>
      </x:c>
      <x:c r="C11" s="242" t="n">
        <x:f>C9-C10</x:f>
        <x:v>16346.892500000002</x:v>
      </x:c>
      <x:c r="D11" s="242" t="n">
        <x:f>D9-D10</x:f>
        <x:v>27095.405</x:v>
      </x:c>
      <x:c r="E11" s="242" t="n">
        <x:f>E9-E10</x:f>
        <x:v>39993.619999999995</x:v>
      </x:c>
      <x:c r="F11" s="242" t="n">
        <x:f>F9-F10</x:f>
        <x:v>44090.774999999994</x:v>
      </x:c>
      <x:c r="G11" s="242" t="n">
        <x:f>G9-G10</x:f>
        <x:v>51848.45625</x:v>
      </x:c>
      <x:c r="H11" s="242" t="n">
        <x:f>H9-H10</x:f>
        <x:v>59606.1375</x:v>
      </x:c>
      <x:c r="I11" s="242" t="n">
        <x:f>I9-I10</x:f>
        <x:v>67363.81875</x:v>
      </x:c>
      <x:c r="J11" s="242" t="n">
        <x:f>J9-J10</x:f>
        <x:v>75112.64937500001</x:v>
      </x:c>
      <x:c r="K11" s="242" t="n">
        <x:f>K9-K10</x:f>
        <x:v>80853.02000000002</x:v>
      </x:c>
      <x:c r="L11" s="242" t="n">
        <x:f>L9-L10</x:f>
        <x:v>86593.390625</x:v>
      </x:c>
      <x:c r="M11" s="242" t="n">
        <x:f>M9-M10</x:f>
        <x:v>103814.50250000003</x:v>
      </x:c>
      <x:c r="N11" s="239"/>
    </x:row>
    <x:row r="12" ht="15" hidden="0" customHeight="1">
      <x:c r="A12" s="239" t="str">
        <x:v>Gross margin</x:v>
      </x:c>
      <x:c r="B12" s="243" t="n">
        <x:f>B9/B7</x:f>
        <x:v>0.7297021384928718</x:v>
      </x:c>
      <x:c r="C12" s="243" t="n">
        <x:f>C9/C7</x:f>
        <x:v>0.7297021384928717</x:v>
      </x:c>
      <x:c r="D12" s="243" t="n">
        <x:f>D9/D7</x:f>
        <x:v>0.7297021384928717</x:v>
      </x:c>
      <x:c r="E12" s="243" t="n">
        <x:f>E9/E7</x:f>
        <x:v>0.7297021384928717</x:v>
      </x:c>
      <x:c r="F12" s="243" t="n">
        <x:f>F9/F7</x:f>
        <x:v>0.7357436693854325</x:v>
      </x:c>
      <x:c r="G12" s="243" t="n">
        <x:f>G9/G7</x:f>
        <x:v>0.7357436693854325</x:v>
      </x:c>
      <x:c r="H12" s="243" t="n">
        <x:f>H9/H7</x:f>
        <x:v>0.7357436693854325</x:v>
      </x:c>
      <x:c r="I12" s="243" t="n">
        <x:f>I9/I7</x:f>
        <x:v>0.7357436693854326</x:v>
      </x:c>
      <x:c r="J12" s="243" t="n">
        <x:f>J9/J7</x:f>
        <x:v>0.7396431677618864</x:v>
      </x:c>
      <x:c r="K12" s="243" t="n">
        <x:f>K9/K7</x:f>
        <x:v>0.7396431677618864</x:v>
      </x:c>
      <x:c r="L12" s="243" t="n">
        <x:f>L9/L7</x:f>
        <x:v>0.7396431677618863</x:v>
      </x:c>
      <x:c r="M12" s="243" t="n">
        <x:f>M9/M7</x:f>
        <x:v>0.7396431677618864</x:v>
      </x:c>
      <x:c r="N12" s="239"/>
    </x:row>
    <x:row r="13" ht="15" hidden="0" customHeight="1">
      <x:c r="A13" s="239" t="str">
        <x:v>Contribution margin</x:v>
      </x:c>
      <x:c r="B13" s="243" t="n">
        <x:f>B11/B7</x:f>
        <x:v>0.1461130440521989</x:v>
      </x:c>
      <x:c r="C13" s="243" t="n">
        <x:f>C11/C7</x:f>
        <x:v>0.2522201521323212</x:v>
      </x:c>
      <x:c r="D13" s="243" t="n">
        <x:f>D11/D7</x:f>
        <x:v>0.3406427421990898</x:v>
      </x:c>
      <x:c r="E13" s="243" t="n">
        <x:f>E11/E7</x:f>
        <x:v>0.4113808142525046</x:v>
      </x:c>
      <x:c r="F13" s="243" t="n">
        <x:f>F11/F7</x:f>
        <x:v>0.38014532176851973</x:v>
      </x:c>
      <x:c r="G13" s="243" t="n">
        <x:f>G11/G7</x:f>
        <x:v>0.40977851740326254</x:v>
      </x:c>
      <x:c r="H13" s="243" t="n">
        <x:f>H11/H7</x:f>
        <x:v>0.4348527598634294</x:v>
      </x:c>
      <x:c r="I13" s="243" t="n">
        <x:f>I11/I7</x:f>
        <x:v>0.4563449676864297</x:v>
      </x:c>
      <x:c r="J13" s="243" t="n">
        <x:f>J11/J7</x:f>
        <x:v>0.420792084026599</x:v>
      </x:c>
      <x:c r="K13" s="243" t="n">
        <x:f>K11/K7</x:f>
        <x:v>0.43407754584890273</x:v>
      </x:c>
      <x:c r="L13" s="243" t="n">
        <x:f>L11/L7</x:f>
        <x:v>0.446300170725422</x:v>
      </x:c>
      <x:c r="M13" s="243" t="n">
        <x:f>M11/M7</x:f>
        <x:v>0.4777297775507575</x:v>
      </x:c>
      <x:c r="N13" s="239"/>
    </x:row>
    <x:row r="14" ht="15" hidden="0" customHeight="1">
      <x:c r="A14" s="239" t="str">
        <x:v>Consultant hours</x:v>
      </x:c>
      <x:c r="B14" s="310" t="n">
        <x:f>'Scenario Forecast'!B$34*B$6</x:f>
        <x:v>88.2</x:v>
      </x:c>
      <x:c r="C14" s="310" t="n">
        <x:f>'Scenario Forecast'!B$34*C$6</x:f>
        <x:v>107.8</x:v>
      </x:c>
      <x:c r="D14" s="310" t="n">
        <x:f>'Scenario Forecast'!B$34*D$6</x:f>
        <x:v>132.3</x:v>
      </x:c>
      <x:c r="E14" s="310" t="n">
        <x:f>'Scenario Forecast'!B$34*E$6</x:f>
        <x:v>161.70000000000002</x:v>
      </x:c>
      <x:c r="F14" s="310" t="n">
        <x:f>'Scenario Forecast'!C$34*F$6</x:f>
        <x:v>184.14000000000001</x:v>
      </x:c>
      <x:c r="G14" s="310" t="n">
        <x:f>'Scenario Forecast'!C$34*G$6</x:f>
        <x:v>200.88</x:v>
      </x:c>
      <x:c r="H14" s="310" t="n">
        <x:f>'Scenario Forecast'!C$34*H$6</x:f>
        <x:v>217.62</x:v>
      </x:c>
      <x:c r="I14" s="310" t="n">
        <x:f>'Scenario Forecast'!C$34*I$6</x:f>
        <x:v>234.36</x:v>
      </x:c>
      <x:c r="J14" s="310" t="n">
        <x:f>'Scenario Forecast'!D$34*J$6</x:f>
        <x:v>273.47</x:v>
      </x:c>
      <x:c r="K14" s="310" t="n">
        <x:f>'Scenario Forecast'!D$34*K$6</x:f>
        <x:v>285.36</x:v>
      </x:c>
      <x:c r="L14" s="310" t="n">
        <x:f>'Scenario Forecast'!D$34*L$6</x:f>
        <x:v>297.25</x:v>
      </x:c>
      <x:c r="M14" s="310" t="n">
        <x:f>'Scenario Forecast'!D$34*M$6</x:f>
        <x:v>332.92</x:v>
      </x:c>
      <x:c r="N14" s="239"/>
    </x:row>
    <x:row r="15" ht="15" hidden="0" customHeight="1">
      <x:c r="A15" s="239" t="str">
        <x:v>Developer hours</x:v>
      </x:c>
      <x:c r="B15" s="310" t="n">
        <x:f>'Scenario Forecast'!B$35*B$6</x:f>
        <x:v>66.96</x:v>
      </x:c>
      <x:c r="C15" s="310" t="n">
        <x:f>'Scenario Forecast'!B$35*C$6</x:f>
        <x:v>81.84</x:v>
      </x:c>
      <x:c r="D15" s="310" t="n">
        <x:f>'Scenario Forecast'!B$35*D$6</x:f>
        <x:v>100.44000000000001</x:v>
      </x:c>
      <x:c r="E15" s="310" t="n">
        <x:f>'Scenario Forecast'!B$35*E$6</x:f>
        <x:v>122.76</x:v>
      </x:c>
      <x:c r="F15" s="310" t="n">
        <x:f>'Scenario Forecast'!C$35*F$6</x:f>
        <x:v>150.7</x:v>
      </x:c>
      <x:c r="G15" s="310" t="n">
        <x:f>'Scenario Forecast'!C$35*G$6</x:f>
        <x:v>164.4</x:v>
      </x:c>
      <x:c r="H15" s="310" t="n">
        <x:f>'Scenario Forecast'!C$35*H$6</x:f>
        <x:v>178.1</x:v>
      </x:c>
      <x:c r="I15" s="310" t="n">
        <x:f>'Scenario Forecast'!C$35*I$6</x:f>
        <x:v>191.8</x:v>
      </x:c>
      <x:c r="J15" s="310" t="n">
        <x:f>'Scenario Forecast'!D$35*J$6</x:f>
        <x:v>238.51000000000002</x:v>
      </x:c>
      <x:c r="K15" s="310" t="n">
        <x:f>'Scenario Forecast'!D$35*K$6</x:f>
        <x:v>248.88</x:v>
      </x:c>
      <x:c r="L15" s="310" t="n">
        <x:f>'Scenario Forecast'!D$35*L$6</x:f>
        <x:v>259.25</x:v>
      </x:c>
      <x:c r="M15" s="310" t="n">
        <x:f>'Scenario Forecast'!D$35*M$6</x:f>
        <x:v>290.36</x:v>
      </x:c>
      <x:c r="N15" s="239"/>
    </x:row>
    <x:row r="16" ht="15" hidden="0" customHeight="1">
      <x:c r="A16" s="239" t="str">
        <x:v>Consultant FTE</x:v>
      </x:c>
      <x:c r="B16" s="295" t="n">
        <x:f>B14/('Assumptions'!$C$9/4)</x:f>
        <x:v>0.30153846153846153</x:v>
      </x:c>
      <x:c r="C16" s="295" t="n">
        <x:f>C14/('Assumptions'!$C$9/4)</x:f>
        <x:v>0.36854700854700856</x:v>
      </x:c>
      <x:c r="D16" s="295" t="n">
        <x:f>D14/('Assumptions'!$C$9/4)</x:f>
        <x:v>0.45230769230769236</x:v>
      </x:c>
      <x:c r="E16" s="295" t="n">
        <x:f>E14/('Assumptions'!$C$9/4)</x:f>
        <x:v>0.5528205128205129</x:v>
      </x:c>
      <x:c r="F16" s="295" t="n">
        <x:f>F14/('Assumptions'!$C$9/4)</x:f>
        <x:v>0.6295384615384616</x:v>
      </x:c>
      <x:c r="G16" s="295" t="n">
        <x:f>G14/('Assumptions'!$C$9/4)</x:f>
        <x:v>0.6867692307692308</x:v>
      </x:c>
      <x:c r="H16" s="295" t="n">
        <x:f>H14/('Assumptions'!$C$9/4)</x:f>
        <x:v>0.744</x:v>
      </x:c>
      <x:c r="I16" s="295" t="n">
        <x:f>I14/('Assumptions'!$C$9/4)</x:f>
        <x:v>0.8012307692307693</x:v>
      </x:c>
      <x:c r="J16" s="295" t="n">
        <x:f>J14/('Assumptions'!$C$9/4)</x:f>
        <x:v>0.934940170940171</x:v>
      </x:c>
      <x:c r="K16" s="295" t="n">
        <x:f>K14/('Assumptions'!$C$9/4)</x:f>
        <x:v>0.9755897435897436</x:v>
      </x:c>
      <x:c r="L16" s="295" t="n">
        <x:f>L14/('Assumptions'!$C$9/4)</x:f>
        <x:v>1.0162393162393162</x:v>
      </x:c>
      <x:c r="M16" s="295" t="n">
        <x:f>M14/('Assumptions'!$C$9/4)</x:f>
        <x:v>1.1381880341880342</x:v>
      </x:c>
      <x:c r="N16" s="239"/>
    </x:row>
    <x:row r="17" ht="15" hidden="0" customHeight="1">
      <x:c r="A17" s="239" t="str">
        <x:v>Developer FTE</x:v>
      </x:c>
      <x:c r="B17" s="295" t="n">
        <x:f>B15/('Assumptions'!$C$10/4)</x:f>
        <x:v>0.1913142857142857</x:v>
      </x:c>
      <x:c r="C17" s="295" t="n">
        <x:f>C15/('Assumptions'!$C$10/4)</x:f>
        <x:v>0.23382857142857144</x:v>
      </x:c>
      <x:c r="D17" s="295" t="n">
        <x:f>D15/('Assumptions'!$C$10/4)</x:f>
        <x:v>0.2869714285714286</x:v>
      </x:c>
      <x:c r="E17" s="295" t="n">
        <x:f>E15/('Assumptions'!$C$10/4)</x:f>
        <x:v>0.35074285714285713</x:v>
      </x:c>
      <x:c r="F17" s="295" t="n">
        <x:f>F15/('Assumptions'!$C$10/4)</x:f>
        <x:v>0.43057142857142855</x:v>
      </x:c>
      <x:c r="G17" s="295" t="n">
        <x:f>G15/('Assumptions'!$C$10/4)</x:f>
        <x:v>0.46971428571428575</x:v>
      </x:c>
      <x:c r="H17" s="295" t="n">
        <x:f>H15/('Assumptions'!$C$10/4)</x:f>
        <x:v>0.5088571428571428</x:v>
      </x:c>
      <x:c r="I17" s="295" t="n">
        <x:f>I15/('Assumptions'!$C$10/4)</x:f>
        <x:v>0.548</x:v>
      </x:c>
      <x:c r="J17" s="295" t="n">
        <x:f>J15/('Assumptions'!$C$10/4)</x:f>
        <x:v>0.6814571428571429</x:v>
      </x:c>
      <x:c r="K17" s="295" t="n">
        <x:f>K15/('Assumptions'!$C$10/4)</x:f>
        <x:v>0.7110857142857143</x:v>
      </x:c>
      <x:c r="L17" s="295" t="n">
        <x:f>L15/('Assumptions'!$C$10/4)</x:f>
        <x:v>0.7407142857142858</x:v>
      </x:c>
      <x:c r="M17" s="295" t="n">
        <x:f>M15/('Assumptions'!$C$10/4)</x:f>
        <x:v>0.8296</x:v>
      </x:c>
      <x:c r="N17" s="239"/>
    </x:row>
    <x:row r="18" ht="15" hidden="0" customHeight="1">
      <x:c r="A18" s="239" t="str">
        <x:v>Capacity gate</x:v>
      </x:c>
      <x:c r="B18" s="239" t="str">
        <x:f>IF(MAX(B16,B17)&gt;1.15,"Over capacity",IF(MAX(B16,B17)&gt;0.85,"Hire gate","Available"))</x:f>
        <x:v>Available</x:v>
      </x:c>
      <x:c r="C18" s="239" t="str">
        <x:f>IF(MAX(C16,C17)&gt;1.15,"Over capacity",IF(MAX(C16,C17)&gt;0.85,"Hire gate","Available"))</x:f>
        <x:v>Available</x:v>
      </x:c>
      <x:c r="D18" s="239" t="str">
        <x:f>IF(MAX(D16,D17)&gt;1.15,"Over capacity",IF(MAX(D16,D17)&gt;0.85,"Hire gate","Available"))</x:f>
        <x:v>Available</x:v>
      </x:c>
      <x:c r="E18" s="239" t="str">
        <x:f>IF(MAX(E16,E17)&gt;1.15,"Over capacity",IF(MAX(E16,E17)&gt;0.85,"Hire gate","Available"))</x:f>
        <x:v>Available</x:v>
      </x:c>
      <x:c r="F18" s="239" t="str">
        <x:f>IF(MAX(F16,F17)&gt;1.15,"Over capacity",IF(MAX(F16,F17)&gt;0.85,"Hire gate","Available"))</x:f>
        <x:v>Available</x:v>
      </x:c>
      <x:c r="G18" s="239" t="str">
        <x:f>IF(MAX(G16,G17)&gt;1.15,"Over capacity",IF(MAX(G16,G17)&gt;0.85,"Hire gate","Available"))</x:f>
        <x:v>Available</x:v>
      </x:c>
      <x:c r="H18" s="239" t="str">
        <x:f>IF(MAX(H16,H17)&gt;1.15,"Over capacity",IF(MAX(H16,H17)&gt;0.85,"Hire gate","Available"))</x:f>
        <x:v>Available</x:v>
      </x:c>
      <x:c r="I18" s="239" t="str">
        <x:f>IF(MAX(I16,I17)&gt;1.15,"Over capacity",IF(MAX(I16,I17)&gt;0.85,"Hire gate","Available"))</x:f>
        <x:v>Available</x:v>
      </x:c>
      <x:c r="J18" s="239" t="str">
        <x:f>IF(MAX(J16,J17)&gt;1.15,"Over capacity",IF(MAX(J16,J17)&gt;0.85,"Hire gate","Available"))</x:f>
        <x:v>Hire gate</x:v>
      </x:c>
      <x:c r="K18" s="239" t="str">
        <x:f>IF(MAX(K16,K17)&gt;1.15,"Over capacity",IF(MAX(K16,K17)&gt;0.85,"Hire gate","Available"))</x:f>
        <x:v>Hire gate</x:v>
      </x:c>
      <x:c r="L18" s="239" t="str">
        <x:f>IF(MAX(L16,L17)&gt;1.15,"Over capacity",IF(MAX(L16,L17)&gt;0.85,"Hire gate","Available"))</x:f>
        <x:v>Hire gate</x:v>
      </x:c>
      <x:c r="M18" s="239" t="str">
        <x:f>IF(MAX(M16,M17)&gt;1.15,"Over capacity",IF(MAX(M16,M17)&gt;0.85,"Hire gate","Available"))</x:f>
        <x:v>Hire gate</x:v>
      </x:c>
      <x:c r="N18" s="239"/>
    </x:row>
    <x:row r="19">
      <x:c r="A19" s="239"/>
      <x:c r="B19" s="239"/>
      <x:c r="C19" s="239"/>
      <x:c r="D19" s="239"/>
      <x:c r="E19" s="239"/>
      <x:c r="F19" s="239"/>
      <x:c r="G19" s="239"/>
      <x:c r="H19" s="239"/>
      <x:c r="I19" s="239"/>
      <x:c r="J19" s="239"/>
      <x:c r="K19" s="239"/>
      <x:c r="L19" s="239"/>
      <x:c r="M19" s="239"/>
      <x:c r="N19" s="239"/>
    </x:row>
    <x:row r="20">
      <x:c r="A20" s="239"/>
      <x:c r="B20" s="239"/>
      <x:c r="C20" s="239"/>
      <x:c r="D20" s="239"/>
      <x:c r="E20" s="239"/>
      <x:c r="F20" s="239"/>
      <x:c r="G20" s="239"/>
      <x:c r="H20" s="239"/>
      <x:c r="I20" s="239"/>
      <x:c r="J20" s="239"/>
      <x:c r="K20" s="239"/>
      <x:c r="L20" s="239"/>
      <x:c r="M20" s="239"/>
      <x:c r="N20" s="239"/>
    </x:row>
    <x:row r="21" ht="15" hidden="0" customHeight="1">
      <x:c r="A21" s="335" t="str">
        <x:v>Quarter</x:v>
      </x:c>
      <x:c r="B21" s="337" t="str">
        <x:v>Revenue</x:v>
      </x:c>
      <x:c r="C21" s="339" t="str">
        <x:v>Operating contribution</x:v>
      </x:c>
      <x:c r="D21" s="239"/>
      <x:c r="E21" s="239"/>
      <x:c r="F21" s="239"/>
      <x:c r="G21" s="239"/>
      <x:c r="H21" s="239"/>
      <x:c r="I21" s="239"/>
      <x:c r="J21" s="239"/>
      <x:c r="K21" s="239"/>
      <x:c r="L21" s="239"/>
      <x:c r="M21" s="239"/>
      <x:c r="N21" s="239"/>
    </x:row>
    <x:row r="22" ht="15" hidden="0" customHeight="1">
      <x:c r="A22" s="239" t="str">
        <x:f>"Y1 Q1"</x:f>
        <x:v>Y1 Q1</x:v>
      </x:c>
      <x:c r="B22" s="299" t="n">
        <x:f>B7</x:f>
        <x:v>53028</x:v>
      </x:c>
      <x:c r="C22" s="299" t="n">
        <x:f>B11</x:f>
        <x:v>7748.082500000004</x:v>
      </x:c>
      <x:c r="D22" s="239"/>
      <x:c r="E22" s="239"/>
      <x:c r="F22" s="239"/>
      <x:c r="G22" s="239"/>
      <x:c r="H22" s="239"/>
      <x:c r="I22" s="239"/>
      <x:c r="J22" s="239"/>
      <x:c r="K22" s="239"/>
      <x:c r="L22" s="239"/>
      <x:c r="M22" s="239"/>
      <x:c r="N22" s="239"/>
    </x:row>
    <x:row r="23" ht="15" hidden="0" customHeight="1">
      <x:c r="A23" s="239" t="str">
        <x:f>"Y1 Q2"</x:f>
        <x:v>Y1 Q2</x:v>
      </x:c>
      <x:c r="B23" s="299" t="n">
        <x:f>C7</x:f>
        <x:v>64812</x:v>
      </x:c>
      <x:c r="C23" s="299" t="n">
        <x:f>C11</x:f>
        <x:v>16346.892500000002</x:v>
      </x:c>
      <x:c r="D23" s="239"/>
      <x:c r="E23" s="239"/>
      <x:c r="F23" s="239"/>
      <x:c r="G23" s="239"/>
      <x:c r="H23" s="239"/>
      <x:c r="I23" s="239"/>
      <x:c r="J23" s="239"/>
      <x:c r="K23" s="239"/>
      <x:c r="L23" s="239"/>
      <x:c r="M23" s="239"/>
      <x:c r="N23" s="239"/>
    </x:row>
    <x:row r="24" ht="15" hidden="0" customHeight="1">
      <x:c r="A24" s="239" t="str">
        <x:f>"Y1 Q3"</x:f>
        <x:v>Y1 Q3</x:v>
      </x:c>
      <x:c r="B24" s="299" t="n">
        <x:f>D7</x:f>
        <x:v>79542</x:v>
      </x:c>
      <x:c r="C24" s="299" t="n">
        <x:f>D11</x:f>
        <x:v>27095.405</x:v>
      </x:c>
      <x:c r="D24" s="239"/>
      <x:c r="E24" s="239"/>
      <x:c r="F24" s="239"/>
      <x:c r="G24" s="239"/>
      <x:c r="H24" s="239"/>
      <x:c r="I24" s="239"/>
      <x:c r="J24" s="239"/>
      <x:c r="K24" s="239"/>
      <x:c r="L24" s="239"/>
      <x:c r="M24" s="239"/>
      <x:c r="N24" s="239"/>
    </x:row>
    <x:row r="25" ht="15" hidden="0" customHeight="1">
      <x:c r="A25" s="239" t="str">
        <x:f>"Y1 Q4"</x:f>
        <x:v>Y1 Q4</x:v>
      </x:c>
      <x:c r="B25" s="299" t="n">
        <x:f>E7</x:f>
        <x:v>97218</x:v>
      </x:c>
      <x:c r="C25" s="299" t="n">
        <x:f>E11</x:f>
        <x:v>39993.619999999995</x:v>
      </x:c>
      <x:c r="D25" s="239"/>
      <x:c r="E25" s="239"/>
      <x:c r="F25" s="239"/>
      <x:c r="G25" s="239"/>
      <x:c r="H25" s="239"/>
      <x:c r="I25" s="239"/>
      <x:c r="J25" s="239"/>
      <x:c r="K25" s="239"/>
      <x:c r="L25" s="239"/>
      <x:c r="M25" s="239"/>
      <x:c r="N25" s="239"/>
    </x:row>
    <x:row r="26" ht="15" hidden="0" customHeight="1">
      <x:c r="A26" s="239" t="str">
        <x:f>"Y2 Q1"</x:f>
        <x:v>Y2 Q1</x:v>
      </x:c>
      <x:c r="B26" s="299" t="n">
        <x:f>F7</x:f>
        <x:v>115984</x:v>
      </x:c>
      <x:c r="C26" s="299" t="n">
        <x:f>F11</x:f>
        <x:v>44090.774999999994</x:v>
      </x:c>
      <x:c r="D26" s="239"/>
      <x:c r="E26" s="239"/>
      <x:c r="F26" s="239"/>
      <x:c r="G26" s="239"/>
      <x:c r="H26" s="239"/>
      <x:c r="I26" s="239"/>
      <x:c r="J26" s="239"/>
      <x:c r="K26" s="239"/>
      <x:c r="L26" s="239"/>
      <x:c r="M26" s="239"/>
      <x:c r="N26" s="239"/>
    </x:row>
    <x:row r="27" ht="15" hidden="0" customHeight="1">
      <x:c r="A27" s="239" t="str">
        <x:f>"Y2 Q2"</x:f>
        <x:v>Y2 Q2</x:v>
      </x:c>
      <x:c r="B27" s="299" t="n">
        <x:f>G7</x:f>
        <x:v>126528</x:v>
      </x:c>
      <x:c r="C27" s="299" t="n">
        <x:f>G11</x:f>
        <x:v>51848.45625</x:v>
      </x:c>
      <x:c r="D27" s="239"/>
      <x:c r="E27" s="239"/>
      <x:c r="F27" s="239"/>
      <x:c r="G27" s="239"/>
      <x:c r="H27" s="239"/>
      <x:c r="I27" s="239"/>
      <x:c r="J27" s="239"/>
      <x:c r="K27" s="239"/>
      <x:c r="L27" s="239"/>
      <x:c r="M27" s="239"/>
      <x:c r="N27" s="239"/>
    </x:row>
    <x:row r="28" ht="15" hidden="0" customHeight="1">
      <x:c r="A28" s="239" t="str">
        <x:f>"Y2 Q3"</x:f>
        <x:v>Y2 Q3</x:v>
      </x:c>
      <x:c r="B28" s="299" t="n">
        <x:f>H7</x:f>
        <x:v>137072</x:v>
      </x:c>
      <x:c r="C28" s="299" t="n">
        <x:f>H11</x:f>
        <x:v>59606.1375</x:v>
      </x:c>
      <x:c r="D28" s="239"/>
      <x:c r="E28" s="239"/>
      <x:c r="F28" s="239"/>
      <x:c r="G28" s="239"/>
      <x:c r="H28" s="239"/>
      <x:c r="I28" s="239"/>
      <x:c r="J28" s="239"/>
      <x:c r="K28" s="239"/>
      <x:c r="L28" s="239"/>
      <x:c r="M28" s="239"/>
      <x:c r="N28" s="239"/>
    </x:row>
    <x:row r="29" ht="15" hidden="0" customHeight="1">
      <x:c r="A29" s="239" t="str">
        <x:f>"Y2 Q4"</x:f>
        <x:v>Y2 Q4</x:v>
      </x:c>
      <x:c r="B29" s="299" t="n">
        <x:f>I7</x:f>
        <x:v>147616</x:v>
      </x:c>
      <x:c r="C29" s="299" t="n">
        <x:f>I11</x:f>
        <x:v>67363.81875</x:v>
      </x:c>
      <x:c r="D29" s="239"/>
      <x:c r="E29" s="239"/>
      <x:c r="F29" s="239"/>
      <x:c r="G29" s="239"/>
      <x:c r="H29" s="239"/>
      <x:c r="I29" s="239"/>
      <x:c r="J29" s="239"/>
      <x:c r="K29" s="239"/>
      <x:c r="L29" s="239"/>
      <x:c r="M29" s="239"/>
      <x:c r="N29" s="239"/>
    </x:row>
    <x:row r="30" ht="15" hidden="0" customHeight="1">
      <x:c r="A30" s="239" t="str">
        <x:f>"Y3 Q1"</x:f>
        <x:v>Y3 Q1</x:v>
      </x:c>
      <x:c r="B30" s="299" t="n">
        <x:f>J7</x:f>
        <x:v>178503</x:v>
      </x:c>
      <x:c r="C30" s="299" t="n">
        <x:f>J11</x:f>
        <x:v>75112.64937500001</x:v>
      </x:c>
      <x:c r="D30" s="239"/>
      <x:c r="E30" s="239"/>
      <x:c r="F30" s="239"/>
      <x:c r="G30" s="239"/>
      <x:c r="H30" s="239"/>
      <x:c r="I30" s="239"/>
      <x:c r="J30" s="239"/>
      <x:c r="K30" s="239"/>
      <x:c r="L30" s="239"/>
      <x:c r="M30" s="239"/>
      <x:c r="N30" s="239"/>
    </x:row>
    <x:row r="31" ht="15" hidden="0" customHeight="1">
      <x:c r="A31" s="239" t="str">
        <x:f>"Y3 Q2"</x:f>
        <x:v>Y3 Q2</x:v>
      </x:c>
      <x:c r="B31" s="299" t="n">
        <x:f>K7</x:f>
        <x:v>186264</x:v>
      </x:c>
      <x:c r="C31" s="299" t="n">
        <x:f>K11</x:f>
        <x:v>80853.02000000002</x:v>
      </x:c>
      <x:c r="D31" s="239"/>
      <x:c r="E31" s="239"/>
      <x:c r="F31" s="239"/>
      <x:c r="G31" s="239"/>
      <x:c r="H31" s="239"/>
      <x:c r="I31" s="239"/>
      <x:c r="J31" s="239"/>
      <x:c r="K31" s="239"/>
      <x:c r="L31" s="239"/>
      <x:c r="M31" s="239"/>
      <x:c r="N31" s="239"/>
    </x:row>
    <x:row r="32" ht="15" hidden="0" customHeight="1">
      <x:c r="A32" s="239" t="str">
        <x:f>"Y3 Q3"</x:f>
        <x:v>Y3 Q3</x:v>
      </x:c>
      <x:c r="B32" s="299" t="n">
        <x:f>L7</x:f>
        <x:v>194025</x:v>
      </x:c>
      <x:c r="C32" s="299" t="n">
        <x:f>L11</x:f>
        <x:v>86593.390625</x:v>
      </x:c>
      <x:c r="D32" s="239"/>
      <x:c r="E32" s="239"/>
      <x:c r="F32" s="239"/>
      <x:c r="G32" s="239"/>
      <x:c r="H32" s="239"/>
      <x:c r="I32" s="239"/>
      <x:c r="J32" s="239"/>
      <x:c r="K32" s="239"/>
      <x:c r="L32" s="239"/>
      <x:c r="M32" s="239"/>
      <x:c r="N32" s="239"/>
    </x:row>
    <x:row r="33" ht="15" hidden="0" customHeight="1">
      <x:c r="A33" s="239" t="str">
        <x:f>"Y3 Q4"</x:f>
        <x:v>Y3 Q4</x:v>
      </x:c>
      <x:c r="B33" s="299" t="n">
        <x:f>M7</x:f>
        <x:v>217308.00000000003</x:v>
      </x:c>
      <x:c r="C33" s="299" t="n">
        <x:f>M11</x:f>
        <x:v>103814.50250000003</x:v>
      </x:c>
      <x:c r="D33" s="239"/>
      <x:c r="E33" s="239"/>
      <x:c r="F33" s="239"/>
      <x:c r="G33" s="239"/>
      <x:c r="H33" s="239"/>
      <x:c r="I33" s="239"/>
      <x:c r="J33" s="239"/>
      <x:c r="K33" s="239"/>
      <x:c r="L33" s="239"/>
      <x:c r="M33" s="239"/>
      <x:c r="N33" s="239"/>
    </x:row>
    <x:row r="34"/>
    <x:row r="35"/>
    <x:row r="36"/>
    <x:row r="37"/>
    <x:row r="38"/>
    <x:row r="39"/>
  </x:sheetData>
  <x:mergeCells>
    <x:mergeCell ref="A1:N1"/>
    <x:mergeCell ref="A2:N3"/>
  </x:mergeCells>
  <x:conditionalFormatting sqref="B18:M18">
    <x:cfRule type="containsText" dxfId="3" priority="1" operator="containsText" text="Over"/>
    <x:cfRule type="containsText" dxfId="4" priority="2" operator="containsText" text="Hire"/>
    <x:cfRule type="containsText" dxfId="5" priority="3" operator="containsText" text="Available"/>
  </x:conditionalFormatting>
  <x:pageMargins left="0.7" right="0.7" top="0.75" bottom="0.75" header="0.3" footer="0.3"/>
  <x:drawing xmlns:r="http://schemas.openxmlformats.org/officeDocument/2006/relationships" r:id="R41d8b50227874414"/>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5" hidden="0" customWidth="1"/>
  </x:cols>
  <x:sheetData>
    <x:row r="1" ht="21.600000381469727" hidden="0" customHeight="1">
      <x:c r="A1" s="328" t="str">
        <x:v>Operating Budget — Australian Business Cost Base</x:v>
      </x:c>
      <x:c r="B1" s="4" t="str">
        <x:v>Operating Budget — Australian Business Cost Base</x:v>
      </x:c>
      <x:c r="C1" s="4" t="str">
        <x:v>Operating Budget — Australian Business Cost Base</x:v>
      </x:c>
      <x:c r="D1" s="4" t="str">
        <x:v>Operating Budget — Australian Business Cost Base</x:v>
      </x:c>
      <x:c r="E1" s="4" t="str">
        <x:v>Operating Budget — Australian Business Cost Base</x:v>
      </x:c>
      <x:c r="F1" s="4" t="str">
        <x:v>Operating Budget — Australian Business Cost Base</x:v>
      </x:c>
      <x:c r="G1" s="4" t="str">
        <x:v>Operating Budget — Australian Business Cost Base</x:v>
      </x:c>
      <x:c r="H1" s="4" t="str">
        <x:v>Operating Budget — Australian Business Cost Base</x:v>
      </x:c>
      <x:c r="I1" s="4" t="str">
        <x:v>Operating Budget — Australian Business Cost Base</x:v>
      </x:c>
      <x:c r="J1" s="4" t="str">
        <x:v>Operating Budget — Australian Business Cost Base</x:v>
      </x:c>
      <x:c r="K1" s="4" t="str">
        <x:v>Operating Budget — Australian Business Cost Base</x:v>
      </x:c>
      <x:c r="L1" s="4" t="str">
        <x:v>Operating Budget — Australian Business Cost Base</x:v>
      </x:c>
      <x:c r="M1" s="4" t="str">
        <x:v>Operating Budget — Australian Business Cost Base</x:v>
      </x:c>
      <x:c r="N1" s="4" t="str">
        <x:v>Operating Budget — Australian Business Cost Base</x:v>
      </x:c>
    </x:row>
    <x:row r="2">
      <x:c r="A2" s="244" t="str">
        <x:v>Base budget excludes direct project labour and developer fees, which sit in cost of sales. It includes an owner non-delivery capacity allowance, insurance, legal/accounting, approved systems, security, offshore setup, marketing and contingency. All figures are planning estimates ex GST.</x:v>
      </x:c>
      <x:c r="B2" s="244"/>
      <x:c r="C2" s="244"/>
      <x:c r="D2" s="244"/>
      <x:c r="E2" s="244"/>
      <x:c r="F2" s="244"/>
      <x:c r="G2" s="244"/>
      <x:c r="H2" s="244"/>
      <x:c r="I2" s="244"/>
      <x:c r="J2" s="244"/>
      <x:c r="K2" s="244"/>
      <x:c r="L2" s="244"/>
      <x:c r="M2" s="244"/>
      <x:c r="N2" s="244"/>
    </x:row>
    <x:row r="3">
      <x:c r="A3" s="244"/>
      <x:c r="B3" s="244"/>
      <x:c r="C3" s="244"/>
      <x:c r="D3" s="244"/>
      <x:c r="E3" s="244"/>
      <x:c r="F3" s="244"/>
      <x:c r="G3" s="244"/>
      <x:c r="H3" s="244"/>
      <x:c r="I3" s="244"/>
      <x:c r="J3" s="244"/>
      <x:c r="K3" s="244"/>
      <x:c r="L3" s="244"/>
      <x:c r="M3" s="244"/>
      <x:c r="N3" s="244"/>
    </x:row>
    <x:row r="4">
      <x:c r="A4" s="239"/>
      <x:c r="B4" s="239"/>
      <x:c r="C4" s="239"/>
      <x:c r="D4" s="239"/>
      <x:c r="E4" s="239"/>
      <x:c r="F4" s="239"/>
      <x:c r="G4" s="239"/>
      <x:c r="H4" s="239"/>
      <x:c r="I4" s="239"/>
      <x:c r="J4" s="239"/>
      <x:c r="K4" s="239"/>
      <x:c r="L4" s="239"/>
      <x:c r="M4" s="239"/>
      <x:c r="N4" s="239"/>
    </x:row>
    <x:row r="5" ht="15" hidden="0" customHeight="1">
      <x:c r="A5" s="335" t="str">
        <x:v>Category</x:v>
      </x:c>
      <x:c r="B5" s="337" t="str">
        <x:v>Year 1</x:v>
      </x:c>
      <x:c r="C5" s="337" t="str">
        <x:v>Year 2</x:v>
      </x:c>
      <x:c r="D5" s="337" t="str">
        <x:v>Year 3</x:v>
      </x:c>
      <x:c r="E5" s="339" t="str">
        <x:v>GST-creditable share</x:v>
      </x:c>
      <x:c r="F5" s="239"/>
      <x:c r="G5" s="239"/>
      <x:c r="H5" s="335" t="str">
        <x:v>Largest Year 1 cost</x:v>
      </x:c>
      <x:c r="I5" s="339" t="str">
        <x:v>Amount</x:v>
      </x:c>
      <x:c r="J5" s="239"/>
      <x:c r="K5" s="239"/>
      <x:c r="L5" s="239"/>
      <x:c r="M5" s="239"/>
      <x:c r="N5" s="239"/>
    </x:row>
    <x:row r="6" ht="42" hidden="0" customHeight="1">
      <x:c r="A6" s="311" t="str">
        <x:f>'Assumptions'!A34</x:f>
        <x:v>Owner non-delivery capacity allowance</x:v>
      </x:c>
      <x:c r="B6" s="312" t="n">
        <x:f>'Assumptions'!B34</x:f>
        <x:v>45000</x:v>
      </x:c>
      <x:c r="C6" s="312" t="n">
        <x:f>'Assumptions'!C34</x:f>
        <x:v>54000</x:v>
      </x:c>
      <x:c r="D6" s="312" t="n">
        <x:f>'Assumptions'!D34</x:f>
        <x:v>63000</x:v>
      </x:c>
      <x:c r="E6" s="313" t="n">
        <x:f>'Assumptions'!E34</x:f>
        <x:v>0</x:v>
      </x:c>
      <x:c r="F6" s="239"/>
      <x:c r="G6" s="239"/>
      <x:c r="H6" s="239" t="str">
        <x:f>A6</x:f>
        <x:v>Owner non-delivery capacity allowance</x:v>
      </x:c>
      <x:c r="I6" s="299" t="n">
        <x:f>B6</x:f>
        <x:v>45000</x:v>
      </x:c>
      <x:c r="J6" s="239"/>
      <x:c r="K6" s="239"/>
      <x:c r="L6" s="239"/>
      <x:c r="M6" s="239"/>
      <x:c r="N6" s="239"/>
    </x:row>
    <x:row r="7" ht="42" hidden="0" customHeight="1">
      <x:c r="A7" s="311" t="str">
        <x:f>'Assumptions'!A35</x:f>
        <x:v>ASIC and registrations</x:v>
      </x:c>
      <x:c r="B7" s="312" t="n">
        <x:f>'Assumptions'!B35</x:f>
        <x:v>350</x:v>
      </x:c>
      <x:c r="C7" s="312" t="n">
        <x:f>'Assumptions'!C35</x:f>
        <x:v>365</x:v>
      </x:c>
      <x:c r="D7" s="312" t="n">
        <x:f>'Assumptions'!D35</x:f>
        <x:v>380</x:v>
      </x:c>
      <x:c r="E7" s="313" t="n">
        <x:f>'Assumptions'!E35</x:f>
        <x:v>0</x:v>
      </x:c>
      <x:c r="F7" s="239"/>
      <x:c r="G7" s="239"/>
      <x:c r="H7" s="239" t="str">
        <x:f>A14</x:f>
        <x:v>Sales and marketing</x:v>
      </x:c>
      <x:c r="I7" s="299" t="n">
        <x:f>B14</x:f>
        <x:v>18000</x:v>
      </x:c>
      <x:c r="J7" s="239"/>
      <x:c r="K7" s="239"/>
      <x:c r="L7" s="239"/>
      <x:c r="M7" s="239"/>
      <x:c r="N7" s="239"/>
    </x:row>
    <x:row r="8" ht="42" hidden="0" customHeight="1">
      <x:c r="A8" s="311" t="str">
        <x:f>'Assumptions'!A36</x:f>
        <x:v>Accounting, bookkeeping, tax and BAS</x:v>
      </x:c>
      <x:c r="B8" s="312" t="n">
        <x:f>'Assumptions'!B36</x:f>
        <x:v>6000</x:v>
      </x:c>
      <x:c r="C8" s="312" t="n">
        <x:f>'Assumptions'!C36</x:f>
        <x:v>7500</x:v>
      </x:c>
      <x:c r="D8" s="312" t="n">
        <x:f>'Assumptions'!D36</x:f>
        <x:v>10000</x:v>
      </x:c>
      <x:c r="E8" s="313" t="n">
        <x:f>'Assumptions'!E36</x:f>
        <x:v>1</x:v>
      </x:c>
      <x:c r="F8" s="239"/>
      <x:c r="G8" s="239"/>
      <x:c r="H8" s="239" t="str">
        <x:f>A11</x:f>
        <x:v>Business software, CRM, accounting and AI</x:v>
      </x:c>
      <x:c r="I8" s="299" t="n">
        <x:f>B11</x:f>
        <x:v>9000</x:v>
      </x:c>
      <x:c r="J8" s="239"/>
      <x:c r="K8" s="239"/>
      <x:c r="L8" s="239"/>
      <x:c r="M8" s="239"/>
      <x:c r="N8" s="239"/>
    </x:row>
    <x:row r="9" ht="42" hidden="0" customHeight="1">
      <x:c r="A9" s="311" t="str">
        <x:f>'Assumptions'!A37</x:f>
        <x:v>Legal, contracts and privacy review</x:v>
      </x:c>
      <x:c r="B9" s="312" t="n">
        <x:f>'Assumptions'!B37</x:f>
        <x:v>8000</x:v>
      </x:c>
      <x:c r="C9" s="312" t="n">
        <x:f>'Assumptions'!C37</x:f>
        <x:v>5000</x:v>
      </x:c>
      <x:c r="D9" s="312" t="n">
        <x:f>'Assumptions'!D37</x:f>
        <x:v>6000</x:v>
      </x:c>
      <x:c r="E9" s="313" t="n">
        <x:f>'Assumptions'!E37</x:f>
        <x:v>1</x:v>
      </x:c>
      <x:c r="F9" s="239"/>
      <x:c r="G9" s="239"/>
      <x:c r="H9" s="239" t="str">
        <x:f>A9</x:f>
        <x:v>Legal, contracts and privacy review</x:v>
      </x:c>
      <x:c r="I9" s="299" t="n">
        <x:f>B9</x:f>
        <x:v>8000</x:v>
      </x:c>
      <x:c r="J9" s="239"/>
      <x:c r="K9" s="239"/>
      <x:c r="L9" s="239"/>
      <x:c r="M9" s="239"/>
      <x:c r="N9" s="239"/>
    </x:row>
    <x:row r="10" ht="42" hidden="0" customHeight="1">
      <x:c r="A10" s="311" t="str">
        <x:f>'Assumptions'!A38</x:f>
        <x:v>PI, cyber and public-liability insurance</x:v>
      </x:c>
      <x:c r="B10" s="312" t="n">
        <x:f>'Assumptions'!B38</x:f>
        <x:v>5000</x:v>
      </x:c>
      <x:c r="C10" s="312" t="n">
        <x:f>'Assumptions'!C38</x:f>
        <x:v>6500</x:v>
      </x:c>
      <x:c r="D10" s="312" t="n">
        <x:f>'Assumptions'!D38</x:f>
        <x:v>8000</x:v>
      </x:c>
      <x:c r="E10" s="313" t="n">
        <x:f>'Assumptions'!E38</x:f>
        <x:v>0.5</x:v>
      </x:c>
      <x:c r="F10" s="239"/>
      <x:c r="G10" s="239"/>
      <x:c r="H10" s="239" t="str">
        <x:f>A8</x:f>
        <x:v>Accounting, bookkeeping, tax and BAS</x:v>
      </x:c>
      <x:c r="I10" s="299" t="n">
        <x:f>B8</x:f>
        <x:v>6000</x:v>
      </x:c>
      <x:c r="J10" s="239"/>
      <x:c r="K10" s="239"/>
      <x:c r="L10" s="239"/>
      <x:c r="M10" s="239"/>
      <x:c r="N10" s="239"/>
    </x:row>
    <x:row r="11" ht="42" hidden="0" customHeight="1">
      <x:c r="A11" s="311" t="str">
        <x:f>'Assumptions'!A39</x:f>
        <x:v>Business software, CRM, accounting and AI</x:v>
      </x:c>
      <x:c r="B11" s="312" t="n">
        <x:f>'Assumptions'!B39</x:f>
        <x:v>9000</x:v>
      </x:c>
      <x:c r="C11" s="312" t="n">
        <x:f>'Assumptions'!C39</x:f>
        <x:v>14400</x:v>
      </x:c>
      <x:c r="D11" s="312" t="n">
        <x:f>'Assumptions'!D39</x:f>
        <x:v>21600</x:v>
      </x:c>
      <x:c r="E11" s="313" t="n">
        <x:f>'Assumptions'!E39</x:f>
        <x:v>1</x:v>
      </x:c>
      <x:c r="F11" s="239"/>
      <x:c r="G11" s="239"/>
      <x:c r="H11" s="239" t="str">
        <x:f>A10</x:f>
        <x:v>PI, cyber and public-liability insurance</x:v>
      </x:c>
      <x:c r="I11" s="299" t="n">
        <x:f>B10</x:f>
        <x:v>5000</x:v>
      </x:c>
      <x:c r="J11" s="239"/>
      <x:c r="K11" s="239"/>
      <x:c r="L11" s="239"/>
      <x:c r="M11" s="239"/>
      <x:c r="N11" s="239"/>
    </x:row>
    <x:row r="12" ht="42" hidden="0" customHeight="1">
      <x:c r="A12" s="311" t="str">
        <x:f>'Assumptions'!A40</x:f>
        <x:v>Security, credentials and device controls</x:v>
      </x:c>
      <x:c r="B12" s="312" t="n">
        <x:f>'Assumptions'!B40</x:f>
        <x:v>4800</x:v>
      </x:c>
      <x:c r="C12" s="312" t="n">
        <x:f>'Assumptions'!C40</x:f>
        <x:v>7200</x:v>
      </x:c>
      <x:c r="D12" s="312" t="n">
        <x:f>'Assumptions'!D40</x:f>
        <x:v>10800</x:v>
      </x:c>
      <x:c r="E12" s="313" t="n">
        <x:f>'Assumptions'!E40</x:f>
        <x:v>1</x:v>
      </x:c>
      <x:c r="F12" s="239"/>
      <x:c r="G12" s="239"/>
      <x:c r="H12" s="239"/>
      <x:c r="I12" s="239"/>
      <x:c r="J12" s="239"/>
      <x:c r="K12" s="239"/>
      <x:c r="L12" s="239"/>
      <x:c r="M12" s="239"/>
      <x:c r="N12" s="239"/>
    </x:row>
    <x:row r="13" ht="42" hidden="0" customHeight="1">
      <x:c r="A13" s="311" t="str">
        <x:f>'Assumptions'!A41</x:f>
        <x:v>Cloud, sandboxes and monitoring</x:v>
      </x:c>
      <x:c r="B13" s="312" t="n">
        <x:f>'Assumptions'!B41</x:f>
        <x:v>3600</x:v>
      </x:c>
      <x:c r="C13" s="312" t="n">
        <x:f>'Assumptions'!C41</x:f>
        <x:v>6000</x:v>
      </x:c>
      <x:c r="D13" s="312" t="n">
        <x:f>'Assumptions'!D41</x:f>
        <x:v>12000</x:v>
      </x:c>
      <x:c r="E13" s="313" t="n">
        <x:f>'Assumptions'!E41</x:f>
        <x:v>1</x:v>
      </x:c>
      <x:c r="F13" s="239"/>
      <x:c r="G13" s="239"/>
      <x:c r="H13" s="239"/>
      <x:c r="I13" s="239"/>
      <x:c r="J13" s="239"/>
      <x:c r="K13" s="239"/>
      <x:c r="L13" s="239"/>
      <x:c r="M13" s="239"/>
      <x:c r="N13" s="239"/>
    </x:row>
    <x:row r="14" ht="42" hidden="0" customHeight="1">
      <x:c r="A14" s="311" t="str">
        <x:f>'Assumptions'!A42</x:f>
        <x:v>Sales and marketing</x:v>
      </x:c>
      <x:c r="B14" s="312" t="n">
        <x:f>'Assumptions'!B42</x:f>
        <x:v>18000</x:v>
      </x:c>
      <x:c r="C14" s="312" t="n">
        <x:f>'Assumptions'!C42</x:f>
        <x:v>30000</x:v>
      </x:c>
      <x:c r="D14" s="312" t="n">
        <x:f>'Assumptions'!D42</x:f>
        <x:v>45000</x:v>
      </x:c>
      <x:c r="E14" s="313" t="n">
        <x:f>'Assumptions'!E42</x:f>
        <x:v>1</x:v>
      </x:c>
      <x:c r="F14" s="239"/>
      <x:c r="G14" s="239"/>
      <x:c r="H14" s="239"/>
      <x:c r="I14" s="239"/>
      <x:c r="J14" s="239"/>
      <x:c r="K14" s="239"/>
      <x:c r="L14" s="239"/>
      <x:c r="M14" s="239"/>
      <x:c r="N14" s="239"/>
    </x:row>
    <x:row r="15" ht="42" hidden="0" customHeight="1">
      <x:c r="A15" s="311" t="str">
        <x:f>'Assumptions'!A43</x:f>
        <x:v>Offshore onboarding and due diligence</x:v>
      </x:c>
      <x:c r="B15" s="312" t="n">
        <x:f>'Assumptions'!B43</x:f>
        <x:v>4000</x:v>
      </x:c>
      <x:c r="C15" s="312" t="n">
        <x:f>'Assumptions'!C43</x:f>
        <x:v>5000</x:v>
      </x:c>
      <x:c r="D15" s="312" t="n">
        <x:f>'Assumptions'!D43</x:f>
        <x:v>7000</x:v>
      </x:c>
      <x:c r="E15" s="313" t="n">
        <x:f>'Assumptions'!E43</x:f>
        <x:v>0.25</x:v>
      </x:c>
      <x:c r="F15" s="239"/>
      <x:c r="G15" s="239"/>
      <x:c r="H15" s="239"/>
      <x:c r="I15" s="239"/>
      <x:c r="J15" s="239"/>
      <x:c r="K15" s="239"/>
      <x:c r="L15" s="239"/>
      <x:c r="M15" s="239"/>
      <x:c r="N15" s="239"/>
    </x:row>
    <x:row r="16" ht="42" hidden="0" customHeight="1">
      <x:c r="A16" s="311" t="str">
        <x:f>'Assumptions'!A44</x:f>
        <x:v>Training and memberships</x:v>
      </x:c>
      <x:c r="B16" s="312" t="n">
        <x:f>'Assumptions'!B44</x:f>
        <x:v>2400</x:v>
      </x:c>
      <x:c r="C16" s="312" t="n">
        <x:f>'Assumptions'!C44</x:f>
        <x:v>3500</x:v>
      </x:c>
      <x:c r="D16" s="312" t="n">
        <x:f>'Assumptions'!D44</x:f>
        <x:v>5000</x:v>
      </x:c>
      <x:c r="E16" s="313" t="n">
        <x:f>'Assumptions'!E44</x:f>
        <x:v>0.8</x:v>
      </x:c>
      <x:c r="F16" s="239"/>
      <x:c r="G16" s="239"/>
      <x:c r="H16" s="239"/>
      <x:c r="I16" s="239"/>
      <x:c r="J16" s="239"/>
      <x:c r="K16" s="239"/>
      <x:c r="L16" s="239"/>
      <x:c r="M16" s="239"/>
      <x:c r="N16" s="239"/>
    </x:row>
    <x:row r="17" ht="42" hidden="0" customHeight="1">
      <x:c r="A17" s="311" t="str">
        <x:f>'Assumptions'!A45</x:f>
        <x:v>Travel and unrecovered onsite cost</x:v>
      </x:c>
      <x:c r="B17" s="312" t="n">
        <x:f>'Assumptions'!B45</x:f>
        <x:v>3000</x:v>
      </x:c>
      <x:c r="C17" s="312" t="n">
        <x:f>'Assumptions'!C45</x:f>
        <x:v>5000</x:v>
      </x:c>
      <x:c r="D17" s="312" t="n">
        <x:f>'Assumptions'!D45</x:f>
        <x:v>8000</x:v>
      </x:c>
      <x:c r="E17" s="313" t="n">
        <x:f>'Assumptions'!E45</x:f>
        <x:v>0.5</x:v>
      </x:c>
      <x:c r="F17" s="239"/>
      <x:c r="G17" s="239"/>
      <x:c r="H17" s="239"/>
      <x:c r="I17" s="239"/>
      <x:c r="J17" s="239"/>
      <x:c r="K17" s="239"/>
      <x:c r="L17" s="239"/>
      <x:c r="M17" s="239"/>
      <x:c r="N17" s="239"/>
    </x:row>
    <x:row r="18" ht="42" hidden="0" customHeight="1">
      <x:c r="A18" s="311" t="str">
        <x:f>'Assumptions'!A46</x:f>
        <x:v>Telecom, home office and coworking</x:v>
      </x:c>
      <x:c r="B18" s="312" t="n">
        <x:f>'Assumptions'!B46</x:f>
        <x:v>4800</x:v>
      </x:c>
      <x:c r="C18" s="312" t="n">
        <x:f>'Assumptions'!C46</x:f>
        <x:v>7200</x:v>
      </x:c>
      <x:c r="D18" s="312" t="n">
        <x:f>'Assumptions'!D46</x:f>
        <x:v>12000</x:v>
      </x:c>
      <x:c r="E18" s="313" t="n">
        <x:f>'Assumptions'!E46</x:f>
        <x:v>1</x:v>
      </x:c>
      <x:c r="F18" s="239"/>
      <x:c r="G18" s="239"/>
      <x:c r="H18" s="239"/>
      <x:c r="I18" s="239"/>
      <x:c r="J18" s="239"/>
      <x:c r="K18" s="239"/>
      <x:c r="L18" s="239"/>
      <x:c r="M18" s="239"/>
      <x:c r="N18" s="239"/>
    </x:row>
    <x:row r="19" ht="42" hidden="0" customHeight="1">
      <x:c r="A19" s="311" t="str">
        <x:f>'Assumptions'!A47</x:f>
        <x:v>Banking and administration fees</x:v>
      </x:c>
      <x:c r="B19" s="312" t="n">
        <x:f>'Assumptions'!B47</x:f>
        <x:v>1200</x:v>
      </x:c>
      <x:c r="C19" s="312" t="n">
        <x:f>'Assumptions'!C47</x:f>
        <x:v>1800</x:v>
      </x:c>
      <x:c r="D19" s="312" t="n">
        <x:f>'Assumptions'!D47</x:f>
        <x:v>3000</x:v>
      </x:c>
      <x:c r="E19" s="313" t="n">
        <x:f>'Assumptions'!E47</x:f>
        <x:v>0.5</x:v>
      </x:c>
      <x:c r="F19" s="239"/>
      <x:c r="G19" s="239"/>
      <x:c r="H19" s="239"/>
      <x:c r="I19" s="239"/>
      <x:c r="J19" s="239"/>
      <x:c r="K19" s="239"/>
      <x:c r="L19" s="239"/>
      <x:c r="M19" s="239"/>
      <x:c r="N19" s="239"/>
    </x:row>
    <x:row r="20" ht="15" hidden="0" customHeight="1">
      <x:c r="A20" s="314" t="str">
        <x:v>Subtotal before contingency</x:v>
      </x:c>
      <x:c r="B20" s="315" t="n">
        <x:f>SUM(B6:B19)</x:f>
        <x:v>115150</x:v>
      </x:c>
      <x:c r="C20" s="315" t="n">
        <x:f>SUM(C6:C19)</x:f>
        <x:v>153465</x:v>
      </x:c>
      <x:c r="D20" s="315" t="n">
        <x:f>SUM(D6:D19)</x:f>
        <x:v>211780</x:v>
      </x:c>
      <x:c r="E20" s="239"/>
      <x:c r="F20" s="239"/>
      <x:c r="G20" s="239"/>
      <x:c r="H20" s="239"/>
      <x:c r="I20" s="239"/>
      <x:c r="J20" s="239"/>
      <x:c r="K20" s="239"/>
      <x:c r="L20" s="239"/>
      <x:c r="M20" s="239"/>
      <x:c r="N20" s="239"/>
    </x:row>
    <x:row r="21" ht="15" hidden="0" customHeight="1">
      <x:c r="A21" s="314" t="str">
        <x:v>Operating-expense contingency</x:v>
      </x:c>
      <x:c r="B21" s="315" t="n">
        <x:f>B20*'Assumptions'!$I$13</x:f>
        <x:v>8636.25</x:v>
      </x:c>
      <x:c r="C21" s="315" t="n">
        <x:f>C20*'Assumptions'!$I$13</x:f>
        <x:v>11509.875</x:v>
      </x:c>
      <x:c r="D21" s="315" t="n">
        <x:f>D20*'Assumptions'!$I$13</x:f>
        <x:v>15883.5</x:v>
      </x:c>
      <x:c r="E21" s="239"/>
      <x:c r="F21" s="239"/>
      <x:c r="G21" s="239"/>
      <x:c r="H21" s="239"/>
      <x:c r="I21" s="239"/>
      <x:c r="J21" s="239"/>
      <x:c r="K21" s="239"/>
      <x:c r="L21" s="239"/>
      <x:c r="M21" s="239"/>
      <x:c r="N21" s="239"/>
    </x:row>
    <x:row r="22" ht="15" hidden="0" customHeight="1">
      <x:c r="A22" s="346" t="str">
        <x:v>Total base operating expense</x:v>
      </x:c>
      <x:c r="B22" s="348" t="n">
        <x:f>SUM(B20:B21)</x:f>
        <x:v>123786.25</x:v>
      </x:c>
      <x:c r="C22" s="348" t="n">
        <x:f>SUM(C20:C21)</x:f>
        <x:v>164974.875</x:v>
      </x:c>
      <x:c r="D22" s="348" t="n">
        <x:f>SUM(D20:D21)</x:f>
        <x:v>227663.5</x:v>
      </x:c>
      <x:c r="E22" s="239"/>
      <x:c r="F22" s="239"/>
      <x:c r="G22" s="239"/>
      <x:c r="H22" s="239"/>
      <x:c r="I22" s="239"/>
      <x:c r="J22" s="239"/>
      <x:c r="K22" s="239"/>
      <x:c r="L22" s="239"/>
      <x:c r="M22" s="239"/>
      <x:c r="N22" s="239"/>
    </x:row>
    <x:row r="23">
      <x:c r="A23" s="239"/>
      <x:c r="B23" s="239"/>
      <x:c r="C23" s="239"/>
      <x:c r="D23" s="239"/>
      <x:c r="E23" s="239"/>
      <x:c r="F23" s="239"/>
      <x:c r="G23" s="239"/>
      <x:c r="H23" s="239"/>
      <x:c r="I23" s="239"/>
      <x:c r="J23" s="239"/>
      <x:c r="K23" s="239"/>
      <x:c r="L23" s="239"/>
      <x:c r="M23" s="239"/>
      <x:c r="N23" s="239"/>
    </x:row>
    <x:row r="24">
      <x:c r="A24" s="239"/>
      <x:c r="B24" s="239"/>
      <x:c r="C24" s="239"/>
      <x:c r="D24" s="239"/>
      <x:c r="E24" s="239"/>
      <x:c r="F24" s="239"/>
      <x:c r="G24" s="239"/>
      <x:c r="H24" s="239"/>
      <x:c r="I24" s="239"/>
      <x:c r="J24" s="239"/>
      <x:c r="K24" s="239"/>
      <x:c r="L24" s="239"/>
      <x:c r="M24" s="239"/>
      <x:c r="N24" s="239"/>
    </x:row>
    <x:row r="25" ht="15" hidden="0" customHeight="1">
      <x:c r="A25" s="329" t="str">
        <x:v>Year 1 monthly cash budget</x:v>
      </x:c>
      <x:c r="B25" s="11" t="str">
        <x:v>Year 1 monthly cash budget</x:v>
      </x:c>
      <x:c r="C25" s="11" t="str">
        <x:v>Year 1 monthly cash budget</x:v>
      </x:c>
      <x:c r="D25" s="11" t="str">
        <x:v>Year 1 monthly cash budget</x:v>
      </x:c>
      <x:c r="E25" s="11" t="str">
        <x:v>Year 1 monthly cash budget</x:v>
      </x:c>
      <x:c r="F25" s="11" t="str">
        <x:v>Year 1 monthly cash budget</x:v>
      </x:c>
      <x:c r="G25" s="11" t="str">
        <x:v>Year 1 monthly cash budget</x:v>
      </x:c>
      <x:c r="H25" s="11" t="str">
        <x:v>Year 1 monthly cash budget</x:v>
      </x:c>
      <x:c r="I25" s="11" t="str">
        <x:v>Year 1 monthly cash budget</x:v>
      </x:c>
      <x:c r="J25" s="11" t="str">
        <x:v>Year 1 monthly cash budget</x:v>
      </x:c>
      <x:c r="K25" s="11" t="str">
        <x:v>Year 1 monthly cash budget</x:v>
      </x:c>
      <x:c r="L25" s="11" t="str">
        <x:v>Year 1 monthly cash budget</x:v>
      </x:c>
      <x:c r="M25" s="11" t="str">
        <x:v>Year 1 monthly cash budget</x:v>
      </x:c>
      <x:c r="N25" s="11" t="str">
        <x:v>Year 1 monthly cash budget</x:v>
      </x:c>
    </x:row>
    <x:row r="26" ht="15" hidden="0" customHeight="1">
      <x:c r="A26" s="335" t="str">
        <x:v>Category</x:v>
      </x:c>
      <x:c r="B26" s="337" t="str">
        <x:v>M1</x:v>
      </x:c>
      <x:c r="C26" s="337" t="str">
        <x:v>M2</x:v>
      </x:c>
      <x:c r="D26" s="337" t="str">
        <x:v>M3</x:v>
      </x:c>
      <x:c r="E26" s="337" t="str">
        <x:v>M4</x:v>
      </x:c>
      <x:c r="F26" s="337" t="str">
        <x:v>M5</x:v>
      </x:c>
      <x:c r="G26" s="337" t="str">
        <x:v>M6</x:v>
      </x:c>
      <x:c r="H26" s="337" t="str">
        <x:v>M7</x:v>
      </x:c>
      <x:c r="I26" s="337" t="str">
        <x:v>M8</x:v>
      </x:c>
      <x:c r="J26" s="337" t="str">
        <x:v>M9</x:v>
      </x:c>
      <x:c r="K26" s="337" t="str">
        <x:v>M10</x:v>
      </x:c>
      <x:c r="L26" s="337" t="str">
        <x:v>M11</x:v>
      </x:c>
      <x:c r="M26" s="337" t="str">
        <x:v>M12</x:v>
      </x:c>
      <x:c r="N26" s="339" t="str">
        <x:v>Year 1</x:v>
      </x:c>
    </x:row>
    <x:row r="27" ht="15" hidden="0" customHeight="1">
      <x:c r="A27" s="296" t="str">
        <x:f>A6</x:f>
        <x:v>Owner non-delivery capacity allowance</x:v>
      </x:c>
      <x:c r="B27" s="318" t="n">
        <x:f>$B$6/12</x:f>
        <x:v>3750</x:v>
      </x:c>
      <x:c r="C27" s="318" t="n">
        <x:f>$B$6/12</x:f>
        <x:v>3750</x:v>
      </x:c>
      <x:c r="D27" s="318" t="n">
        <x:f>$B$6/12</x:f>
        <x:v>3750</x:v>
      </x:c>
      <x:c r="E27" s="318" t="n">
        <x:f>$B$6/12</x:f>
        <x:v>3750</x:v>
      </x:c>
      <x:c r="F27" s="318" t="n">
        <x:f>$B$6/12</x:f>
        <x:v>3750</x:v>
      </x:c>
      <x:c r="G27" s="318" t="n">
        <x:f>$B$6/12</x:f>
        <x:v>3750</x:v>
      </x:c>
      <x:c r="H27" s="318" t="n">
        <x:f>$B$6/12</x:f>
        <x:v>3750</x:v>
      </x:c>
      <x:c r="I27" s="318" t="n">
        <x:f>$B$6/12</x:f>
        <x:v>3750</x:v>
      </x:c>
      <x:c r="J27" s="318" t="n">
        <x:f>$B$6/12</x:f>
        <x:v>3750</x:v>
      </x:c>
      <x:c r="K27" s="318" t="n">
        <x:f>$B$6/12</x:f>
        <x:v>3750</x:v>
      </x:c>
      <x:c r="L27" s="318" t="n">
        <x:f>$B$6/12</x:f>
        <x:v>3750</x:v>
      </x:c>
      <x:c r="M27" s="318" t="n">
        <x:f>$B$6/12</x:f>
        <x:v>3750</x:v>
      </x:c>
      <x:c r="N27" s="318" t="n">
        <x:f>SUM(B27:M27)</x:f>
        <x:v>45000</x:v>
      </x:c>
    </x:row>
    <x:row r="28" ht="15" hidden="0" customHeight="1">
      <x:c r="A28" s="296" t="str">
        <x:f>A7</x:f>
        <x:v>ASIC and registrations</x:v>
      </x:c>
      <x:c r="B28" s="318" t="n">
        <x:f>$B$7</x:f>
        <x:v>350</x:v>
      </x:c>
      <x:c r="C28" s="318" t="n">
        <x:f>0</x:f>
        <x:v>0</x:v>
      </x:c>
      <x:c r="D28" s="318" t="n">
        <x:f>0</x:f>
        <x:v>0</x:v>
      </x:c>
      <x:c r="E28" s="318" t="n">
        <x:f>0</x:f>
        <x:v>0</x:v>
      </x:c>
      <x:c r="F28" s="318" t="n">
        <x:f>0</x:f>
        <x:v>0</x:v>
      </x:c>
      <x:c r="G28" s="318" t="n">
        <x:f>0</x:f>
        <x:v>0</x:v>
      </x:c>
      <x:c r="H28" s="318" t="n">
        <x:f>0</x:f>
        <x:v>0</x:v>
      </x:c>
      <x:c r="I28" s="318" t="n">
        <x:f>0</x:f>
        <x:v>0</x:v>
      </x:c>
      <x:c r="J28" s="318" t="n">
        <x:f>0</x:f>
        <x:v>0</x:v>
      </x:c>
      <x:c r="K28" s="318" t="n">
        <x:f>0</x:f>
        <x:v>0</x:v>
      </x:c>
      <x:c r="L28" s="318" t="n">
        <x:f>0</x:f>
        <x:v>0</x:v>
      </x:c>
      <x:c r="M28" s="318" t="n">
        <x:f>0</x:f>
        <x:v>0</x:v>
      </x:c>
      <x:c r="N28" s="318" t="n">
        <x:f>SUM(B28:M28)</x:f>
        <x:v>350</x:v>
      </x:c>
    </x:row>
    <x:row r="29" ht="15" hidden="0" customHeight="1">
      <x:c r="A29" s="296" t="str">
        <x:f>A8</x:f>
        <x:v>Accounting, bookkeeping, tax and BAS</x:v>
      </x:c>
      <x:c r="B29" s="318" t="n">
        <x:f>$B$8/12</x:f>
        <x:v>500</x:v>
      </x:c>
      <x:c r="C29" s="318" t="n">
        <x:f>$B$8/12</x:f>
        <x:v>500</x:v>
      </x:c>
      <x:c r="D29" s="318" t="n">
        <x:f>$B$8/12</x:f>
        <x:v>500</x:v>
      </x:c>
      <x:c r="E29" s="318" t="n">
        <x:f>$B$8/12</x:f>
        <x:v>500</x:v>
      </x:c>
      <x:c r="F29" s="318" t="n">
        <x:f>$B$8/12</x:f>
        <x:v>500</x:v>
      </x:c>
      <x:c r="G29" s="318" t="n">
        <x:f>$B$8/12</x:f>
        <x:v>500</x:v>
      </x:c>
      <x:c r="H29" s="318" t="n">
        <x:f>$B$8/12</x:f>
        <x:v>500</x:v>
      </x:c>
      <x:c r="I29" s="318" t="n">
        <x:f>$B$8/12</x:f>
        <x:v>500</x:v>
      </x:c>
      <x:c r="J29" s="318" t="n">
        <x:f>$B$8/12</x:f>
        <x:v>500</x:v>
      </x:c>
      <x:c r="K29" s="318" t="n">
        <x:f>$B$8/12</x:f>
        <x:v>500</x:v>
      </x:c>
      <x:c r="L29" s="318" t="n">
        <x:f>$B$8/12</x:f>
        <x:v>500</x:v>
      </x:c>
      <x:c r="M29" s="318" t="n">
        <x:f>$B$8/12</x:f>
        <x:v>500</x:v>
      </x:c>
      <x:c r="N29" s="318" t="n">
        <x:f>SUM(B29:M29)</x:f>
        <x:v>6000</x:v>
      </x:c>
    </x:row>
    <x:row r="30" ht="15" hidden="0" customHeight="1">
      <x:c r="A30" s="296" t="str">
        <x:f>A9</x:f>
        <x:v>Legal, contracts and privacy review</x:v>
      </x:c>
      <x:c r="B30" s="318" t="n">
        <x:f>$B$9/4</x:f>
        <x:v>2000</x:v>
      </x:c>
      <x:c r="C30" s="318" t="n">
        <x:f>$B$9/4</x:f>
        <x:v>2000</x:v>
      </x:c>
      <x:c r="D30" s="318" t="n">
        <x:f>$B$9/4</x:f>
        <x:v>2000</x:v>
      </x:c>
      <x:c r="E30" s="318" t="n">
        <x:f>$B$9/4</x:f>
        <x:v>2000</x:v>
      </x:c>
      <x:c r="F30" s="318" t="n">
        <x:f>0</x:f>
        <x:v>0</x:v>
      </x:c>
      <x:c r="G30" s="318" t="n">
        <x:f>0</x:f>
        <x:v>0</x:v>
      </x:c>
      <x:c r="H30" s="318" t="n">
        <x:f>0</x:f>
        <x:v>0</x:v>
      </x:c>
      <x:c r="I30" s="318" t="n">
        <x:f>0</x:f>
        <x:v>0</x:v>
      </x:c>
      <x:c r="J30" s="318" t="n">
        <x:f>0</x:f>
        <x:v>0</x:v>
      </x:c>
      <x:c r="K30" s="318" t="n">
        <x:f>0</x:f>
        <x:v>0</x:v>
      </x:c>
      <x:c r="L30" s="318" t="n">
        <x:f>0</x:f>
        <x:v>0</x:v>
      </x:c>
      <x:c r="M30" s="318" t="n">
        <x:f>0</x:f>
        <x:v>0</x:v>
      </x:c>
      <x:c r="N30" s="318" t="n">
        <x:f>SUM(B30:M30)</x:f>
        <x:v>8000</x:v>
      </x:c>
    </x:row>
    <x:row r="31" ht="15" hidden="0" customHeight="1">
      <x:c r="A31" s="296" t="str">
        <x:f>A10</x:f>
        <x:v>PI, cyber and public-liability insurance</x:v>
      </x:c>
      <x:c r="B31" s="318" t="n">
        <x:f>$B$10</x:f>
        <x:v>5000</x:v>
      </x:c>
      <x:c r="C31" s="318" t="n">
        <x:f>0</x:f>
        <x:v>0</x:v>
      </x:c>
      <x:c r="D31" s="318" t="n">
        <x:f>0</x:f>
        <x:v>0</x:v>
      </x:c>
      <x:c r="E31" s="318" t="n">
        <x:f>0</x:f>
        <x:v>0</x:v>
      </x:c>
      <x:c r="F31" s="318" t="n">
        <x:f>0</x:f>
        <x:v>0</x:v>
      </x:c>
      <x:c r="G31" s="318" t="n">
        <x:f>0</x:f>
        <x:v>0</x:v>
      </x:c>
      <x:c r="H31" s="318" t="n">
        <x:f>0</x:f>
        <x:v>0</x:v>
      </x:c>
      <x:c r="I31" s="318" t="n">
        <x:f>0</x:f>
        <x:v>0</x:v>
      </x:c>
      <x:c r="J31" s="318" t="n">
        <x:f>0</x:f>
        <x:v>0</x:v>
      </x:c>
      <x:c r="K31" s="318" t="n">
        <x:f>0</x:f>
        <x:v>0</x:v>
      </x:c>
      <x:c r="L31" s="318" t="n">
        <x:f>0</x:f>
        <x:v>0</x:v>
      </x:c>
      <x:c r="M31" s="318" t="n">
        <x:f>0</x:f>
        <x:v>0</x:v>
      </x:c>
      <x:c r="N31" s="318" t="n">
        <x:f>SUM(B31:M31)</x:f>
        <x:v>5000</x:v>
      </x:c>
    </x:row>
    <x:row r="32" ht="15" hidden="0" customHeight="1">
      <x:c r="A32" s="296" t="str">
        <x:f>A11</x:f>
        <x:v>Business software, CRM, accounting and AI</x:v>
      </x:c>
      <x:c r="B32" s="318" t="n">
        <x:f>$B$11/12</x:f>
        <x:v>750</x:v>
      </x:c>
      <x:c r="C32" s="318" t="n">
        <x:f>$B$11/12</x:f>
        <x:v>750</x:v>
      </x:c>
      <x:c r="D32" s="318" t="n">
        <x:f>$B$11/12</x:f>
        <x:v>750</x:v>
      </x:c>
      <x:c r="E32" s="318" t="n">
        <x:f>$B$11/12</x:f>
        <x:v>750</x:v>
      </x:c>
      <x:c r="F32" s="318" t="n">
        <x:f>$B$11/12</x:f>
        <x:v>750</x:v>
      </x:c>
      <x:c r="G32" s="318" t="n">
        <x:f>$B$11/12</x:f>
        <x:v>750</x:v>
      </x:c>
      <x:c r="H32" s="318" t="n">
        <x:f>$B$11/12</x:f>
        <x:v>750</x:v>
      </x:c>
      <x:c r="I32" s="318" t="n">
        <x:f>$B$11/12</x:f>
        <x:v>750</x:v>
      </x:c>
      <x:c r="J32" s="318" t="n">
        <x:f>$B$11/12</x:f>
        <x:v>750</x:v>
      </x:c>
      <x:c r="K32" s="318" t="n">
        <x:f>$B$11/12</x:f>
        <x:v>750</x:v>
      </x:c>
      <x:c r="L32" s="318" t="n">
        <x:f>$B$11/12</x:f>
        <x:v>750</x:v>
      </x:c>
      <x:c r="M32" s="318" t="n">
        <x:f>$B$11/12</x:f>
        <x:v>750</x:v>
      </x:c>
      <x:c r="N32" s="318" t="n">
        <x:f>SUM(B32:M32)</x:f>
        <x:v>9000</x:v>
      </x:c>
    </x:row>
    <x:row r="33" ht="15" hidden="0" customHeight="1">
      <x:c r="A33" s="296" t="str">
        <x:f>A12</x:f>
        <x:v>Security, credentials and device controls</x:v>
      </x:c>
      <x:c r="B33" s="318" t="n">
        <x:f>$B$12/12</x:f>
        <x:v>400</x:v>
      </x:c>
      <x:c r="C33" s="318" t="n">
        <x:f>$B$12/12</x:f>
        <x:v>400</x:v>
      </x:c>
      <x:c r="D33" s="318" t="n">
        <x:f>$B$12/12</x:f>
        <x:v>400</x:v>
      </x:c>
      <x:c r="E33" s="318" t="n">
        <x:f>$B$12/12</x:f>
        <x:v>400</x:v>
      </x:c>
      <x:c r="F33" s="318" t="n">
        <x:f>$B$12/12</x:f>
        <x:v>400</x:v>
      </x:c>
      <x:c r="G33" s="318" t="n">
        <x:f>$B$12/12</x:f>
        <x:v>400</x:v>
      </x:c>
      <x:c r="H33" s="318" t="n">
        <x:f>$B$12/12</x:f>
        <x:v>400</x:v>
      </x:c>
      <x:c r="I33" s="318" t="n">
        <x:f>$B$12/12</x:f>
        <x:v>400</x:v>
      </x:c>
      <x:c r="J33" s="318" t="n">
        <x:f>$B$12/12</x:f>
        <x:v>400</x:v>
      </x:c>
      <x:c r="K33" s="318" t="n">
        <x:f>$B$12/12</x:f>
        <x:v>400</x:v>
      </x:c>
      <x:c r="L33" s="318" t="n">
        <x:f>$B$12/12</x:f>
        <x:v>400</x:v>
      </x:c>
      <x:c r="M33" s="318" t="n">
        <x:f>$B$12/12</x:f>
        <x:v>400</x:v>
      </x:c>
      <x:c r="N33" s="318" t="n">
        <x:f>SUM(B33:M33)</x:f>
        <x:v>4800</x:v>
      </x:c>
    </x:row>
    <x:row r="34" ht="15" hidden="0" customHeight="1">
      <x:c r="A34" s="296" t="str">
        <x:f>A13</x:f>
        <x:v>Cloud, sandboxes and monitoring</x:v>
      </x:c>
      <x:c r="B34" s="318" t="n">
        <x:f>$B$13/12</x:f>
        <x:v>300</x:v>
      </x:c>
      <x:c r="C34" s="318" t="n">
        <x:f>$B$13/12</x:f>
        <x:v>300</x:v>
      </x:c>
      <x:c r="D34" s="318" t="n">
        <x:f>$B$13/12</x:f>
        <x:v>300</x:v>
      </x:c>
      <x:c r="E34" s="318" t="n">
        <x:f>$B$13/12</x:f>
        <x:v>300</x:v>
      </x:c>
      <x:c r="F34" s="318" t="n">
        <x:f>$B$13/12</x:f>
        <x:v>300</x:v>
      </x:c>
      <x:c r="G34" s="318" t="n">
        <x:f>$B$13/12</x:f>
        <x:v>300</x:v>
      </x:c>
      <x:c r="H34" s="318" t="n">
        <x:f>$B$13/12</x:f>
        <x:v>300</x:v>
      </x:c>
      <x:c r="I34" s="318" t="n">
        <x:f>$B$13/12</x:f>
        <x:v>300</x:v>
      </x:c>
      <x:c r="J34" s="318" t="n">
        <x:f>$B$13/12</x:f>
        <x:v>300</x:v>
      </x:c>
      <x:c r="K34" s="318" t="n">
        <x:f>$B$13/12</x:f>
        <x:v>300</x:v>
      </x:c>
      <x:c r="L34" s="318" t="n">
        <x:f>$B$13/12</x:f>
        <x:v>300</x:v>
      </x:c>
      <x:c r="M34" s="318" t="n">
        <x:f>$B$13/12</x:f>
        <x:v>300</x:v>
      </x:c>
      <x:c r="N34" s="318" t="n">
        <x:f>SUM(B34:M34)</x:f>
        <x:v>3600</x:v>
      </x:c>
    </x:row>
    <x:row r="35" ht="15" hidden="0" customHeight="1">
      <x:c r="A35" s="296" t="str">
        <x:f>A14</x:f>
        <x:v>Sales and marketing</x:v>
      </x:c>
      <x:c r="B35" s="318" t="n">
        <x:f>$B$14/12</x:f>
        <x:v>1500</x:v>
      </x:c>
      <x:c r="C35" s="318" t="n">
        <x:f>$B$14/12</x:f>
        <x:v>1500</x:v>
      </x:c>
      <x:c r="D35" s="318" t="n">
        <x:f>$B$14/12</x:f>
        <x:v>1500</x:v>
      </x:c>
      <x:c r="E35" s="318" t="n">
        <x:f>$B$14/12</x:f>
        <x:v>1500</x:v>
      </x:c>
      <x:c r="F35" s="318" t="n">
        <x:f>$B$14/12</x:f>
        <x:v>1500</x:v>
      </x:c>
      <x:c r="G35" s="318" t="n">
        <x:f>$B$14/12</x:f>
        <x:v>1500</x:v>
      </x:c>
      <x:c r="H35" s="318" t="n">
        <x:f>$B$14/12</x:f>
        <x:v>1500</x:v>
      </x:c>
      <x:c r="I35" s="318" t="n">
        <x:f>$B$14/12</x:f>
        <x:v>1500</x:v>
      </x:c>
      <x:c r="J35" s="318" t="n">
        <x:f>$B$14/12</x:f>
        <x:v>1500</x:v>
      </x:c>
      <x:c r="K35" s="318" t="n">
        <x:f>$B$14/12</x:f>
        <x:v>1500</x:v>
      </x:c>
      <x:c r="L35" s="318" t="n">
        <x:f>$B$14/12</x:f>
        <x:v>1500</x:v>
      </x:c>
      <x:c r="M35" s="318" t="n">
        <x:f>$B$14/12</x:f>
        <x:v>1500</x:v>
      </x:c>
      <x:c r="N35" s="318" t="n">
        <x:f>SUM(B35:M35)</x:f>
        <x:v>18000</x:v>
      </x:c>
    </x:row>
    <x:row r="36" ht="15" hidden="0" customHeight="1">
      <x:c r="A36" s="296" t="str">
        <x:f>A15</x:f>
        <x:v>Offshore onboarding and due diligence</x:v>
      </x:c>
      <x:c r="B36" s="318" t="n">
        <x:f>$B$15/4</x:f>
        <x:v>1000</x:v>
      </x:c>
      <x:c r="C36" s="318" t="n">
        <x:f>$B$15/4</x:f>
        <x:v>1000</x:v>
      </x:c>
      <x:c r="D36" s="318" t="n">
        <x:f>$B$15/4</x:f>
        <x:v>1000</x:v>
      </x:c>
      <x:c r="E36" s="318" t="n">
        <x:f>$B$15/4</x:f>
        <x:v>1000</x:v>
      </x:c>
      <x:c r="F36" s="318" t="n">
        <x:f>0</x:f>
        <x:v>0</x:v>
      </x:c>
      <x:c r="G36" s="318" t="n">
        <x:f>0</x:f>
        <x:v>0</x:v>
      </x:c>
      <x:c r="H36" s="318" t="n">
        <x:f>0</x:f>
        <x:v>0</x:v>
      </x:c>
      <x:c r="I36" s="318" t="n">
        <x:f>0</x:f>
        <x:v>0</x:v>
      </x:c>
      <x:c r="J36" s="318" t="n">
        <x:f>0</x:f>
        <x:v>0</x:v>
      </x:c>
      <x:c r="K36" s="318" t="n">
        <x:f>0</x:f>
        <x:v>0</x:v>
      </x:c>
      <x:c r="L36" s="318" t="n">
        <x:f>0</x:f>
        <x:v>0</x:v>
      </x:c>
      <x:c r="M36" s="318" t="n">
        <x:f>0</x:f>
        <x:v>0</x:v>
      </x:c>
      <x:c r="N36" s="318" t="n">
        <x:f>SUM(B36:M36)</x:f>
        <x:v>4000</x:v>
      </x:c>
    </x:row>
    <x:row r="37" ht="15" hidden="0" customHeight="1">
      <x:c r="A37" s="296" t="str">
        <x:f>A16</x:f>
        <x:v>Training and memberships</x:v>
      </x:c>
      <x:c r="B37" s="318" t="n">
        <x:f>$B$16/12</x:f>
        <x:v>200</x:v>
      </x:c>
      <x:c r="C37" s="318" t="n">
        <x:f>$B$16/12</x:f>
        <x:v>200</x:v>
      </x:c>
      <x:c r="D37" s="318" t="n">
        <x:f>$B$16/12</x:f>
        <x:v>200</x:v>
      </x:c>
      <x:c r="E37" s="318" t="n">
        <x:f>$B$16/12</x:f>
        <x:v>200</x:v>
      </x:c>
      <x:c r="F37" s="318" t="n">
        <x:f>$B$16/12</x:f>
        <x:v>200</x:v>
      </x:c>
      <x:c r="G37" s="318" t="n">
        <x:f>$B$16/12</x:f>
        <x:v>200</x:v>
      </x:c>
      <x:c r="H37" s="318" t="n">
        <x:f>$B$16/12</x:f>
        <x:v>200</x:v>
      </x:c>
      <x:c r="I37" s="318" t="n">
        <x:f>$B$16/12</x:f>
        <x:v>200</x:v>
      </x:c>
      <x:c r="J37" s="318" t="n">
        <x:f>$B$16/12</x:f>
        <x:v>200</x:v>
      </x:c>
      <x:c r="K37" s="318" t="n">
        <x:f>$B$16/12</x:f>
        <x:v>200</x:v>
      </x:c>
      <x:c r="L37" s="318" t="n">
        <x:f>$B$16/12</x:f>
        <x:v>200</x:v>
      </x:c>
      <x:c r="M37" s="318" t="n">
        <x:f>$B$16/12</x:f>
        <x:v>200</x:v>
      </x:c>
      <x:c r="N37" s="318" t="n">
        <x:f>SUM(B37:M37)</x:f>
        <x:v>2400</x:v>
      </x:c>
    </x:row>
    <x:row r="38" ht="15" hidden="0" customHeight="1">
      <x:c r="A38" s="296" t="str">
        <x:f>A17</x:f>
        <x:v>Travel and unrecovered onsite cost</x:v>
      </x:c>
      <x:c r="B38" s="318" t="n">
        <x:f>$B$17/12</x:f>
        <x:v>250</x:v>
      </x:c>
      <x:c r="C38" s="318" t="n">
        <x:f>$B$17/12</x:f>
        <x:v>250</x:v>
      </x:c>
      <x:c r="D38" s="318" t="n">
        <x:f>$B$17/12</x:f>
        <x:v>250</x:v>
      </x:c>
      <x:c r="E38" s="318" t="n">
        <x:f>$B$17/12</x:f>
        <x:v>250</x:v>
      </x:c>
      <x:c r="F38" s="318" t="n">
        <x:f>$B$17/12</x:f>
        <x:v>250</x:v>
      </x:c>
      <x:c r="G38" s="318" t="n">
        <x:f>$B$17/12</x:f>
        <x:v>250</x:v>
      </x:c>
      <x:c r="H38" s="318" t="n">
        <x:f>$B$17/12</x:f>
        <x:v>250</x:v>
      </x:c>
      <x:c r="I38" s="318" t="n">
        <x:f>$B$17/12</x:f>
        <x:v>250</x:v>
      </x:c>
      <x:c r="J38" s="318" t="n">
        <x:f>$B$17/12</x:f>
        <x:v>250</x:v>
      </x:c>
      <x:c r="K38" s="318" t="n">
        <x:f>$B$17/12</x:f>
        <x:v>250</x:v>
      </x:c>
      <x:c r="L38" s="318" t="n">
        <x:f>$B$17/12</x:f>
        <x:v>250</x:v>
      </x:c>
      <x:c r="M38" s="318" t="n">
        <x:f>$B$17/12</x:f>
        <x:v>250</x:v>
      </x:c>
      <x:c r="N38" s="318" t="n">
        <x:f>SUM(B38:M38)</x:f>
        <x:v>3000</x:v>
      </x:c>
    </x:row>
    <x:row r="39" ht="15" hidden="0" customHeight="1">
      <x:c r="A39" s="296" t="str">
        <x:f>A18</x:f>
        <x:v>Telecom, home office and coworking</x:v>
      </x:c>
      <x:c r="B39" s="318" t="n">
        <x:f>$B$18/12</x:f>
        <x:v>400</x:v>
      </x:c>
      <x:c r="C39" s="318" t="n">
        <x:f>$B$18/12</x:f>
        <x:v>400</x:v>
      </x:c>
      <x:c r="D39" s="318" t="n">
        <x:f>$B$18/12</x:f>
        <x:v>400</x:v>
      </x:c>
      <x:c r="E39" s="318" t="n">
        <x:f>$B$18/12</x:f>
        <x:v>400</x:v>
      </x:c>
      <x:c r="F39" s="318" t="n">
        <x:f>$B$18/12</x:f>
        <x:v>400</x:v>
      </x:c>
      <x:c r="G39" s="318" t="n">
        <x:f>$B$18/12</x:f>
        <x:v>400</x:v>
      </x:c>
      <x:c r="H39" s="318" t="n">
        <x:f>$B$18/12</x:f>
        <x:v>400</x:v>
      </x:c>
      <x:c r="I39" s="318" t="n">
        <x:f>$B$18/12</x:f>
        <x:v>400</x:v>
      </x:c>
      <x:c r="J39" s="318" t="n">
        <x:f>$B$18/12</x:f>
        <x:v>400</x:v>
      </x:c>
      <x:c r="K39" s="318" t="n">
        <x:f>$B$18/12</x:f>
        <x:v>400</x:v>
      </x:c>
      <x:c r="L39" s="318" t="n">
        <x:f>$B$18/12</x:f>
        <x:v>400</x:v>
      </x:c>
      <x:c r="M39" s="318" t="n">
        <x:f>$B$18/12</x:f>
        <x:v>400</x:v>
      </x:c>
      <x:c r="N39" s="318" t="n">
        <x:f>SUM(B39:M39)</x:f>
        <x:v>4800</x:v>
      </x:c>
    </x:row>
    <x:row r="40" ht="15" hidden="0" customHeight="1">
      <x:c r="A40" s="296" t="str">
        <x:f>A19</x:f>
        <x:v>Banking and administration fees</x:v>
      </x:c>
      <x:c r="B40" s="318" t="n">
        <x:f>$B$19/12</x:f>
        <x:v>100</x:v>
      </x:c>
      <x:c r="C40" s="318" t="n">
        <x:f>$B$19/12</x:f>
        <x:v>100</x:v>
      </x:c>
      <x:c r="D40" s="318" t="n">
        <x:f>$B$19/12</x:f>
        <x:v>100</x:v>
      </x:c>
      <x:c r="E40" s="318" t="n">
        <x:f>$B$19/12</x:f>
        <x:v>100</x:v>
      </x:c>
      <x:c r="F40" s="318" t="n">
        <x:f>$B$19/12</x:f>
        <x:v>100</x:v>
      </x:c>
      <x:c r="G40" s="318" t="n">
        <x:f>$B$19/12</x:f>
        <x:v>100</x:v>
      </x:c>
      <x:c r="H40" s="318" t="n">
        <x:f>$B$19/12</x:f>
        <x:v>100</x:v>
      </x:c>
      <x:c r="I40" s="318" t="n">
        <x:f>$B$19/12</x:f>
        <x:v>100</x:v>
      </x:c>
      <x:c r="J40" s="318" t="n">
        <x:f>$B$19/12</x:f>
        <x:v>100</x:v>
      </x:c>
      <x:c r="K40" s="318" t="n">
        <x:f>$B$19/12</x:f>
        <x:v>100</x:v>
      </x:c>
      <x:c r="L40" s="318" t="n">
        <x:f>$B$19/12</x:f>
        <x:v>100</x:v>
      </x:c>
      <x:c r="M40" s="318" t="n">
        <x:f>$B$19/12</x:f>
        <x:v>100</x:v>
      </x:c>
      <x:c r="N40" s="318" t="n">
        <x:f>SUM(B40:M40)</x:f>
        <x:v>1200</x:v>
      </x:c>
    </x:row>
    <x:row r="41" ht="15" hidden="0" customHeight="1">
      <x:c r="A41" s="296" t="str">
        <x:v>Subtotal before contingency</x:v>
      </x:c>
      <x:c r="B41" s="318" t="n">
        <x:f>SUM(B27:B40)</x:f>
        <x:v>16500</x:v>
      </x:c>
      <x:c r="C41" s="318" t="n">
        <x:f>SUM(C27:C40)</x:f>
        <x:v>11150</x:v>
      </x:c>
      <x:c r="D41" s="318" t="n">
        <x:f>SUM(D27:D40)</x:f>
        <x:v>11150</x:v>
      </x:c>
      <x:c r="E41" s="318" t="n">
        <x:f>SUM(E27:E40)</x:f>
        <x:v>11150</x:v>
      </x:c>
      <x:c r="F41" s="318" t="n">
        <x:f>SUM(F27:F40)</x:f>
        <x:v>8150</x:v>
      </x:c>
      <x:c r="G41" s="318" t="n">
        <x:f>SUM(G27:G40)</x:f>
        <x:v>8150</x:v>
      </x:c>
      <x:c r="H41" s="318" t="n">
        <x:f>SUM(H27:H40)</x:f>
        <x:v>8150</x:v>
      </x:c>
      <x:c r="I41" s="318" t="n">
        <x:f>SUM(I27:I40)</x:f>
        <x:v>8150</x:v>
      </x:c>
      <x:c r="J41" s="318" t="n">
        <x:f>SUM(J27:J40)</x:f>
        <x:v>8150</x:v>
      </x:c>
      <x:c r="K41" s="318" t="n">
        <x:f>SUM(K27:K40)</x:f>
        <x:v>8150</x:v>
      </x:c>
      <x:c r="L41" s="318" t="n">
        <x:f>SUM(L27:L40)</x:f>
        <x:v>8150</x:v>
      </x:c>
      <x:c r="M41" s="318" t="n">
        <x:f>SUM(M27:M40)</x:f>
        <x:v>8150</x:v>
      </x:c>
      <x:c r="N41" s="318" t="n">
        <x:f>SUM(B41:M41)</x:f>
        <x:v>115150</x:v>
      </x:c>
    </x:row>
    <x:row r="42" ht="15" hidden="0" customHeight="1">
      <x:c r="A42" s="296" t="str">
        <x:v>Contingency</x:v>
      </x:c>
      <x:c r="B42" s="318" t="n">
        <x:f>B41*'Assumptions'!$I$13</x:f>
        <x:v>1237.5</x:v>
      </x:c>
      <x:c r="C42" s="318" t="n">
        <x:f>C41*'Assumptions'!$I$13</x:f>
        <x:v>836.25</x:v>
      </x:c>
      <x:c r="D42" s="318" t="n">
        <x:f>D41*'Assumptions'!$I$13</x:f>
        <x:v>836.25</x:v>
      </x:c>
      <x:c r="E42" s="318" t="n">
        <x:f>E41*'Assumptions'!$I$13</x:f>
        <x:v>836.25</x:v>
      </x:c>
      <x:c r="F42" s="318" t="n">
        <x:f>F41*'Assumptions'!$I$13</x:f>
        <x:v>611.25</x:v>
      </x:c>
      <x:c r="G42" s="318" t="n">
        <x:f>G41*'Assumptions'!$I$13</x:f>
        <x:v>611.25</x:v>
      </x:c>
      <x:c r="H42" s="318" t="n">
        <x:f>H41*'Assumptions'!$I$13</x:f>
        <x:v>611.25</x:v>
      </x:c>
      <x:c r="I42" s="318" t="n">
        <x:f>I41*'Assumptions'!$I$13</x:f>
        <x:v>611.25</x:v>
      </x:c>
      <x:c r="J42" s="318" t="n">
        <x:f>J41*'Assumptions'!$I$13</x:f>
        <x:v>611.25</x:v>
      </x:c>
      <x:c r="K42" s="318" t="n">
        <x:f>K41*'Assumptions'!$I$13</x:f>
        <x:v>611.25</x:v>
      </x:c>
      <x:c r="L42" s="318" t="n">
        <x:f>L41*'Assumptions'!$I$13</x:f>
        <x:v>611.25</x:v>
      </x:c>
      <x:c r="M42" s="318" t="n">
        <x:f>M41*'Assumptions'!$I$13</x:f>
        <x:v>611.25</x:v>
      </x:c>
      <x:c r="N42" s="318" t="n">
        <x:f>SUM(B42:M42)</x:f>
        <x:v>8636.25</x:v>
      </x:c>
    </x:row>
    <x:row r="43" ht="15" hidden="0" customHeight="1">
      <x:c r="A43" s="346" t="str">
        <x:v>Total operating expense</x:v>
      </x:c>
      <x:c r="B43" s="348" t="n">
        <x:f>SUM(B41:B42)</x:f>
        <x:v>17737.5</x:v>
      </x:c>
      <x:c r="C43" s="348" t="n">
        <x:f>SUM(C41:C42)</x:f>
        <x:v>11986.25</x:v>
      </x:c>
      <x:c r="D43" s="348" t="n">
        <x:f>SUM(D41:D42)</x:f>
        <x:v>11986.25</x:v>
      </x:c>
      <x:c r="E43" s="348" t="n">
        <x:f>SUM(E41:E42)</x:f>
        <x:v>11986.25</x:v>
      </x:c>
      <x:c r="F43" s="348" t="n">
        <x:f>SUM(F41:F42)</x:f>
        <x:v>8761.25</x:v>
      </x:c>
      <x:c r="G43" s="348" t="n">
        <x:f>SUM(G41:G42)</x:f>
        <x:v>8761.25</x:v>
      </x:c>
      <x:c r="H43" s="348" t="n">
        <x:f>SUM(H41:H42)</x:f>
        <x:v>8761.25</x:v>
      </x:c>
      <x:c r="I43" s="348" t="n">
        <x:f>SUM(I41:I42)</x:f>
        <x:v>8761.25</x:v>
      </x:c>
      <x:c r="J43" s="348" t="n">
        <x:f>SUM(J41:J42)</x:f>
        <x:v>8761.25</x:v>
      </x:c>
      <x:c r="K43" s="348" t="n">
        <x:f>SUM(K41:K42)</x:f>
        <x:v>8761.25</x:v>
      </x:c>
      <x:c r="L43" s="348" t="n">
        <x:f>SUM(L41:L42)</x:f>
        <x:v>8761.25</x:v>
      </x:c>
      <x:c r="M43" s="348" t="n">
        <x:f>SUM(M41:M42)</x:f>
        <x:v>8761.25</x:v>
      </x:c>
      <x:c r="N43" s="348" t="n">
        <x:f>SUM(B43:M43)</x:f>
        <x:v>123786.25</x:v>
      </x:c>
    </x:row>
    <x:row r="44">
      <x:c r="A44" s="239"/>
      <x:c r="B44" s="239"/>
      <x:c r="C44" s="239"/>
      <x:c r="D44" s="239"/>
      <x:c r="E44" s="239"/>
      <x:c r="F44" s="239"/>
      <x:c r="G44" s="239"/>
      <x:c r="H44" s="239"/>
      <x:c r="I44" s="239"/>
      <x:c r="J44" s="239"/>
      <x:c r="K44" s="239"/>
      <x:c r="L44" s="239"/>
      <x:c r="M44" s="239"/>
      <x:c r="N44" s="239"/>
    </x:row>
    <x:row r="45">
      <x:c r="A45" s="239"/>
      <x:c r="B45" s="239"/>
      <x:c r="C45" s="239"/>
      <x:c r="D45" s="239"/>
      <x:c r="E45" s="239"/>
      <x:c r="F45" s="239"/>
      <x:c r="G45" s="239"/>
      <x:c r="H45" s="239"/>
      <x:c r="I45" s="239"/>
      <x:c r="J45" s="239"/>
      <x:c r="K45" s="239"/>
      <x:c r="L45" s="239"/>
      <x:c r="M45" s="239"/>
      <x:c r="N45" s="239"/>
    </x:row>
    <x:row r="46" ht="15" hidden="0" customHeight="1">
      <x:c r="A46" s="239"/>
      <x:c r="B46" s="239"/>
      <x:c r="C46" s="239"/>
      <x:c r="D46" s="239"/>
      <x:c r="E46" s="239"/>
      <x:c r="F46" s="239"/>
      <x:c r="G46" s="239"/>
      <x:c r="H46" s="335" t="str">
        <x:v>Year</x:v>
      </x:c>
      <x:c r="I46" s="339" t="str">
        <x:v>Operating expense</x:v>
      </x:c>
      <x:c r="J46" s="239"/>
      <x:c r="K46" s="239"/>
      <x:c r="L46" s="239"/>
      <x:c r="M46" s="239"/>
      <x:c r="N46" s="239"/>
    </x:row>
    <x:row r="47" ht="15" hidden="0" customHeight="1">
      <x:c r="A47" s="239"/>
      <x:c r="B47" s="239"/>
      <x:c r="C47" s="239"/>
      <x:c r="D47" s="239"/>
      <x:c r="E47" s="239"/>
      <x:c r="F47" s="239"/>
      <x:c r="G47" s="239"/>
      <x:c r="H47" s="239" t="str">
        <x:v>Year 1</x:v>
      </x:c>
      <x:c r="I47" s="299" t="n">
        <x:f>B22</x:f>
        <x:v>123786.25</x:v>
      </x:c>
      <x:c r="J47" s="239"/>
      <x:c r="K47" s="239"/>
      <x:c r="L47" s="239"/>
      <x:c r="M47" s="239"/>
      <x:c r="N47" s="239"/>
    </x:row>
    <x:row r="48" ht="15" hidden="0" customHeight="1">
      <x:c r="A48" s="239"/>
      <x:c r="B48" s="239"/>
      <x:c r="C48" s="239"/>
      <x:c r="D48" s="239"/>
      <x:c r="E48" s="239"/>
      <x:c r="F48" s="239"/>
      <x:c r="G48" s="239"/>
      <x:c r="H48" s="239" t="str">
        <x:v>Year 2</x:v>
      </x:c>
      <x:c r="I48" s="299" t="n">
        <x:f>C22</x:f>
        <x:v>164974.875</x:v>
      </x:c>
      <x:c r="J48" s="239"/>
      <x:c r="K48" s="239"/>
      <x:c r="L48" s="239"/>
      <x:c r="M48" s="239"/>
      <x:c r="N48" s="239"/>
    </x:row>
    <x:row r="49" ht="15" hidden="0" customHeight="1">
      <x:c r="A49" s="239"/>
      <x:c r="B49" s="239"/>
      <x:c r="C49" s="239"/>
      <x:c r="D49" s="239"/>
      <x:c r="E49" s="239"/>
      <x:c r="F49" s="239"/>
      <x:c r="G49" s="239"/>
      <x:c r="H49" s="239" t="str">
        <x:v>Year 3</x:v>
      </x:c>
      <x:c r="I49" s="299" t="n">
        <x:f>D22</x:f>
        <x:v>227663.5</x:v>
      </x:c>
      <x:c r="J49" s="239"/>
      <x:c r="K49" s="239"/>
      <x:c r="L49" s="239"/>
      <x:c r="M49" s="239"/>
      <x:c r="N49" s="239"/>
    </x:row>
    <x:row r="50"/>
    <x:row r="51"/>
    <x:row r="52"/>
    <x:row r="53"/>
    <x:row r="54"/>
    <x:row r="55"/>
    <x:row r="56"/>
    <x:row r="57"/>
    <x:row r="58"/>
    <x:row r="59"/>
    <x:row r="60"/>
    <x:row r="61"/>
    <x:row r="62"/>
    <x:row r="63"/>
    <x:row r="64"/>
    <x:row r="65"/>
  </x:sheetData>
  <x:mergeCells>
    <x:mergeCell ref="A1:N1"/>
    <x:mergeCell ref="A2:N3"/>
    <x:mergeCell ref="A25:N25"/>
  </x:mergeCells>
  <x:pageMargins left="0.7" right="0.7" top="0.75" bottom="0.75" header="0.3" footer="0.3"/>
  <x:drawing xmlns:r="http://schemas.openxmlformats.org/officeDocument/2006/relationships" r:id="R88a348821ade40a3"/>
</x:worksheet>
</file>

<file path=xl/worksheets/sheet7.xml><?xml version="1.0" encoding="utf-8"?>
<x:worksheet xmlns:x="http://schemas.openxmlformats.org/spreadsheetml/2006/main">
  <x:sheetViews>
    <x:sheetView showGridLines="0" workbookViewId="0"/>
  </x:sheetViews>
  <x:sheetFormatPr defaultRowHeight="15"/>
  <x:cols>
    <x:col min="1" max="1" width="48" hidden="0" customWidth="1"/>
    <x:col min="2" max="2" width="16" hidden="0" customWidth="1"/>
    <x:col min="3" max="3" width="16" hidden="0" customWidth="1"/>
    <x:col min="4" max="4" width="16" hidden="0" customWidth="1"/>
    <x:col min="5" max="5" width="49" hidden="0" customWidth="1"/>
    <x:col min="6" max="6" width="3" hidden="0" customWidth="1"/>
    <x:col min="7" max="7" width="3" hidden="0" customWidth="1"/>
    <x:col min="8" max="8" width="3" hidden="0" customWidth="1"/>
    <x:col min="9" max="9" width="3" hidden="0" customWidth="1"/>
    <x:col min="10" max="10" width="3" hidden="0" customWidth="1"/>
  </x:cols>
  <x:sheetData>
    <x:row r="1" ht="21.600000381469727" hidden="0" customHeight="1">
      <x:c r="A1" s="328" t="str">
        <x:v>Tax and Cash Planning — Base Scenario</x:v>
      </x:c>
      <x:c r="B1" s="4" t="str">
        <x:v>Tax and Cash Planning — Base Scenario</x:v>
      </x:c>
      <x:c r="C1" s="4" t="str">
        <x:v>Tax and Cash Planning — Base Scenario</x:v>
      </x:c>
      <x:c r="D1" s="4" t="str">
        <x:v>Tax and Cash Planning — Base Scenario</x:v>
      </x:c>
      <x:c r="E1" s="4" t="str">
        <x:v>Tax and Cash Planning — Base Scenario</x:v>
      </x:c>
      <x:c r="F1" s="4" t="str">
        <x:v>Tax and Cash Planning — Base Scenario</x:v>
      </x:c>
      <x:c r="G1" s="4" t="str">
        <x:v>Tax and Cash Planning — Base Scenario</x:v>
      </x:c>
      <x:c r="H1" s="4" t="str">
        <x:v>Tax and Cash Planning — Base Scenario</x:v>
      </x:c>
      <x:c r="I1" s="4" t="str">
        <x:v>Tax and Cash Planning — Base Scenario</x:v>
      </x:c>
      <x:c r="J1" s="4" t="str">
        <x:v>Tax and Cash Planning — Base Scenario</x:v>
      </x:c>
    </x:row>
    <x:row r="2">
      <x:c r="A2" s="319" t="str">
        <x:v>GST and company tax are cash-planning provisions, not operating expenses or gross-margin costs. The model assumes GST registration from launch because forecast turnover exceeds $75,000; confirm entity, GST status, creditable purchases and tax rate with an Australian accountant.</x:v>
      </x:c>
      <x:c r="B2" s="319"/>
      <x:c r="C2" s="319"/>
      <x:c r="D2" s="319"/>
      <x:c r="E2" s="319"/>
      <x:c r="F2" s="319"/>
      <x:c r="G2" s="319"/>
      <x:c r="H2" s="319"/>
      <x:c r="I2" s="319"/>
      <x:c r="J2" s="319"/>
    </x:row>
    <x:row r="3">
      <x:c r="A3" s="319"/>
      <x:c r="B3" s="319"/>
      <x:c r="C3" s="319"/>
      <x:c r="D3" s="319"/>
      <x:c r="E3" s="319"/>
      <x:c r="F3" s="319"/>
      <x:c r="G3" s="319"/>
      <x:c r="H3" s="319"/>
      <x:c r="I3" s="319"/>
      <x:c r="J3" s="319"/>
    </x:row>
    <x:row r="4">
      <x:c r="A4" s="239"/>
      <x:c r="B4" s="239"/>
      <x:c r="C4" s="239"/>
      <x:c r="D4" s="239"/>
      <x:c r="E4" s="239"/>
      <x:c r="F4" s="239"/>
      <x:c r="G4" s="239"/>
      <x:c r="H4" s="239"/>
      <x:c r="I4" s="239"/>
      <x:c r="J4" s="239"/>
    </x:row>
    <x:row r="5" ht="15" hidden="0" customHeight="1">
      <x:c r="A5" s="335" t="str">
        <x:v>Metric</x:v>
      </x:c>
      <x:c r="B5" s="337" t="str">
        <x:v>Year 1</x:v>
      </x:c>
      <x:c r="C5" s="337" t="str">
        <x:v>Year 2</x:v>
      </x:c>
      <x:c r="D5" s="337" t="str">
        <x:v>Year 3</x:v>
      </x:c>
      <x:c r="E5" s="339" t="str">
        <x:v>Treatment / caveat</x:v>
      </x:c>
      <x:c r="F5" s="239"/>
      <x:c r="G5" s="239"/>
      <x:c r="H5" s="239"/>
      <x:c r="I5" s="239"/>
      <x:c r="J5" s="239"/>
    </x:row>
    <x:row r="6" ht="40" hidden="0" customHeight="1">
      <x:c r="A6" s="239" t="str">
        <x:v>Revenue ex GST</x:v>
      </x:c>
      <x:c r="B6" s="242" t="n">
        <x:f>'Scenario Forecast'!B$32</x:f>
        <x:v>294600</x:v>
      </x:c>
      <x:c r="C6" s="242" t="n">
        <x:f>'Scenario Forecast'!C$32</x:f>
        <x:v>527200</x:v>
      </x:c>
      <x:c r="D6" s="242" t="n">
        <x:f>'Scenario Forecast'!D$32</x:f>
        <x:v>776100</x:v>
      </x:c>
      <x:c r="E6" s="245" t="str">
        <x:v>P&amp;L revenue</x:v>
      </x:c>
      <x:c r="F6" s="239"/>
      <x:c r="G6" s="239"/>
      <x:c r="H6" s="239"/>
      <x:c r="I6" s="239"/>
      <x:c r="J6" s="239"/>
    </x:row>
    <x:row r="7" ht="40" hidden="0" customHeight="1">
      <x:c r="A7" s="239" t="str">
        <x:v>GST collected</x:v>
      </x:c>
      <x:c r="B7" s="242" t="n">
        <x:f>B6*'Assumptions'!$I$7</x:f>
        <x:v>29460</x:v>
      </x:c>
      <x:c r="C7" s="242" t="n">
        <x:f>C6*'Assumptions'!$I$7</x:f>
        <x:v>52720</x:v>
      </x:c>
      <x:c r="D7" s="242" t="n">
        <x:f>D6*'Assumptions'!$I$7</x:f>
        <x:v>77610</x:v>
      </x:c>
      <x:c r="E7" s="245" t="str">
        <x:v>Cash collected for ATO</x:v>
      </x:c>
      <x:c r="F7" s="239"/>
      <x:c r="G7" s="239"/>
      <x:c r="H7" s="239"/>
      <x:c r="I7" s="239"/>
      <x:c r="J7" s="239"/>
    </x:row>
    <x:row r="8" ht="40" hidden="0" customHeight="1">
      <x:c r="A8" s="239" t="str">
        <x:v>Estimated input GST credits — project purchases</x:v>
      </x:c>
      <x:c r="B8" s="242" t="n">
        <x:f>('Scenario Forecast'!B$39+'Scenario Forecast'!B$40)*70%*'Assumptions'!$I$7</x:f>
        <x:v>941.2199999999999</x:v>
      </x:c>
      <x:c r="C8" s="242" t="n">
        <x:f>('Scenario Forecast'!C$39+'Scenario Forecast'!C$40)*70%*'Assumptions'!$I$7</x:f>
        <x:v>1678.04</x:v>
      </x:c>
      <x:c r="D8" s="242" t="n">
        <x:f>('Scenario Forecast'!D$39+'Scenario Forecast'!D$40)*70%*'Assumptions'!$I$7</x:f>
        <x:v>2468.27</x:v>
      </x:c>
      <x:c r="E8" s="245" t="str">
        <x:v>Assumes 70% of direct non-labour and payment cost is creditable</x:v>
      </x:c>
      <x:c r="F8" s="239"/>
      <x:c r="G8" s="239"/>
      <x:c r="H8" s="239"/>
      <x:c r="I8" s="239"/>
      <x:c r="J8" s="239"/>
    </x:row>
    <x:row r="9" ht="40" hidden="0" customHeight="1">
      <x:c r="A9" s="239" t="str">
        <x:v>Estimated input GST credits — operating expense</x:v>
      </x:c>
      <x:c r="B9" s="242" t="n">
        <x:f>SUMPRODUCT('Operating Budget'!B$6:B$19,'Operating Budget'!$E$6:$E$19)*'Assumptions'!$I$7</x:f>
        <x:v>6172</x:v>
      </x:c>
      <x:c r="C9" s="242" t="n">
        <x:f>SUMPRODUCT('Operating Budget'!C$6:C$19,'Operating Budget'!$E$6:$E$19)*'Assumptions'!$I$7</x:f>
        <x:v>8800</x:v>
      </x:c>
      <x:c r="D9" s="242" t="n">
        <x:f>SUMPRODUCT('Operating Budget'!D$6:D$19,'Operating Budget'!$E$6:$E$19)*'Assumptions'!$I$7</x:f>
        <x:v>13265</x:v>
      </x:c>
      <x:c r="E9" s="245" t="str">
        <x:v>Uses category-level creditable-share assumptions</x:v>
      </x:c>
      <x:c r="F9" s="239"/>
      <x:c r="G9" s="239"/>
      <x:c r="H9" s="239"/>
      <x:c r="I9" s="239"/>
      <x:c r="J9" s="239"/>
    </x:row>
    <x:row r="10" ht="40" hidden="0" customHeight="1">
      <x:c r="A10" s="320" t="str">
        <x:v>Indicative net GST reserve</x:v>
      </x:c>
      <x:c r="B10" s="321" t="n">
        <x:f>MAX(0,B7-B8-B9)</x:f>
        <x:v>22346.78</x:v>
      </x:c>
      <x:c r="C10" s="321" t="n">
        <x:f>MAX(0,C7-C8-C9)</x:f>
        <x:v>42241.96</x:v>
      </x:c>
      <x:c r="D10" s="321" t="n">
        <x:f>MAX(0,D7-D8-D9)</x:f>
        <x:v>61876.729999999996</x:v>
      </x:c>
      <x:c r="E10" s="322" t="str">
        <x:v>GST collected less estimated credits</x:v>
      </x:c>
      <x:c r="F10" s="239"/>
      <x:c r="G10" s="239"/>
      <x:c r="H10" s="239"/>
      <x:c r="I10" s="239"/>
      <x:c r="J10" s="239"/>
    </x:row>
    <x:row r="11" ht="40" hidden="0" customHeight="1">
      <x:c r="A11" s="239" t="str">
        <x:v>Operating contribution</x:v>
      </x:c>
      <x:c r="B11" s="242" t="n">
        <x:f>'Scenario Forecast'!B$46</x:f>
        <x:v>91184</x:v>
      </x:c>
      <x:c r="C11" s="242" t="n">
        <x:f>'Scenario Forecast'!C$46</x:f>
        <x:v>222909.1875</x:v>
      </x:c>
      <x:c r="D11" s="242" t="n">
        <x:f>'Scenario Forecast'!D$46</x:f>
        <x:v>346373.5625</x:v>
      </x:c>
      <x:c r="E11" s="245" t="str">
        <x:v>Before company tax and owner distributions</x:v>
      </x:c>
      <x:c r="F11" s="239"/>
      <x:c r="G11" s="239"/>
      <x:c r="H11" s="239"/>
      <x:c r="I11" s="239"/>
      <x:c r="J11" s="239"/>
    </x:row>
    <x:row r="12" ht="40" hidden="0" customHeight="1">
      <x:c r="A12" s="239" t="str">
        <x:v>Company-tax provision at selected rate</x:v>
      </x:c>
      <x:c r="B12" s="242" t="n">
        <x:f>'Scenario Forecast'!B$48</x:f>
        <x:v>22796</x:v>
      </x:c>
      <x:c r="C12" s="242" t="n">
        <x:f>'Scenario Forecast'!C$48</x:f>
        <x:v>55727.296875</x:v>
      </x:c>
      <x:c r="D12" s="242" t="n">
        <x:f>'Scenario Forecast'!D$48</x:f>
        <x:v>86593.390625</x:v>
      </x:c>
      <x:c r="E12" s="245" t="str">
        <x:v>25% selected; validate base-rate eligibility</x:v>
      </x:c>
      <x:c r="F12" s="239"/>
      <x:c r="G12" s="239"/>
      <x:c r="H12" s="239"/>
      <x:c r="I12" s="239"/>
      <x:c r="J12" s="239"/>
    </x:row>
    <x:row r="13" ht="40" hidden="0" customHeight="1">
      <x:c r="A13" s="349" t="str">
        <x:v>After-tax contribution</x:v>
      </x:c>
      <x:c r="B13" s="350" t="n">
        <x:f>'Scenario Forecast'!B$49</x:f>
        <x:v>68388</x:v>
      </x:c>
      <x:c r="C13" s="350" t="n">
        <x:f>'Scenario Forecast'!C$49</x:f>
        <x:v>167181.890625</x:v>
      </x:c>
      <x:c r="D13" s="350" t="n">
        <x:f>'Scenario Forecast'!D$49</x:f>
        <x:v>259780.171875</x:v>
      </x:c>
      <x:c r="E13" s="351" t="str">
        <x:v>Indicative only</x:v>
      </x:c>
      <x:c r="F13" s="239"/>
      <x:c r="G13" s="239"/>
      <x:c r="H13" s="239"/>
      <x:c r="I13" s="239"/>
      <x:c r="J13" s="239"/>
    </x:row>
    <x:row r="14" ht="40" hidden="0" customHeight="1">
      <x:c r="A14" s="349" t="str">
        <x:v>Working-capital reserve</x:v>
      </x:c>
      <x:c r="B14" s="350" t="n">
        <x:f>'Scenario Forecast'!B$50</x:f>
        <x:v>37582.375</x:v>
      </x:c>
      <x:c r="C14" s="350" t="n">
        <x:f>'Scenario Forecast'!C$50</x:f>
        <x:v>52853.380208333336</x:v>
      </x:c>
      <x:c r="D14" s="350" t="n">
        <x:f>'Scenario Forecast'!D$50</x:f>
        <x:v>73754.453125</x:v>
      </x:c>
      <x:c r="E14" s="351" t="str">
        <x:v>3 months fixed opex + 1 month direct cost</x:v>
      </x:c>
      <x:c r="F14" s="239"/>
      <x:c r="G14" s="239"/>
      <x:c r="H14" s="239"/>
      <x:c r="I14" s="239"/>
      <x:c r="J14" s="239"/>
    </x:row>
    <x:row r="15" ht="40" hidden="0" customHeight="1">
      <x:c r="A15" s="349" t="str">
        <x:v>Tax + GST + working-capital ring-fence</x:v>
      </x:c>
      <x:c r="B15" s="350" t="n">
        <x:f>SUM(B10,B12,B14)</x:f>
        <x:v>82725.155</x:v>
      </x:c>
      <x:c r="C15" s="350" t="n">
        <x:f>SUM(C10,C12,C14)</x:f>
        <x:v>150822.63708333333</x:v>
      </x:c>
      <x:c r="D15" s="350" t="n">
        <x:f>SUM(D10,D12,D14)</x:f>
        <x:v>222224.57374999998</x:v>
      </x:c>
      <x:c r="E15" s="351" t="str">
        <x:v>Not a valuation or bank balance forecast</x:v>
      </x:c>
      <x:c r="F15" s="239"/>
      <x:c r="G15" s="239"/>
      <x:c r="H15" s="239"/>
      <x:c r="I15" s="239"/>
      <x:c r="J15" s="239"/>
    </x:row>
    <x:row r="16">
      <x:c r="A16" s="239"/>
      <x:c r="B16" s="239"/>
      <x:c r="C16" s="239"/>
      <x:c r="D16" s="239"/>
      <x:c r="E16" s="239"/>
      <x:c r="F16" s="239"/>
      <x:c r="G16" s="239"/>
      <x:c r="H16" s="239"/>
      <x:c r="I16" s="239"/>
      <x:c r="J16" s="239"/>
    </x:row>
    <x:row r="17">
      <x:c r="A17" s="239"/>
      <x:c r="B17" s="239"/>
      <x:c r="C17" s="239"/>
      <x:c r="D17" s="239"/>
      <x:c r="E17" s="239"/>
      <x:c r="F17" s="239"/>
      <x:c r="G17" s="239"/>
      <x:c r="H17" s="239"/>
      <x:c r="I17" s="239"/>
      <x:c r="J17" s="239"/>
    </x:row>
    <x:row r="18" ht="15" hidden="0" customHeight="1">
      <x:c r="A18" s="329" t="str">
        <x:v>Company-tax sensitivity</x:v>
      </x:c>
      <x:c r="B18" s="11" t="str">
        <x:v>Company-tax sensitivity</x:v>
      </x:c>
      <x:c r="C18" s="11" t="str">
        <x:v>Company-tax sensitivity</x:v>
      </x:c>
      <x:c r="D18" s="11" t="str">
        <x:v>Company-tax sensitivity</x:v>
      </x:c>
      <x:c r="E18" s="11" t="str">
        <x:v>Company-tax sensitivity</x:v>
      </x:c>
      <x:c r="F18" s="239"/>
      <x:c r="G18" s="239"/>
      <x:c r="H18" s="239"/>
      <x:c r="I18" s="239"/>
      <x:c r="J18" s="239"/>
    </x:row>
    <x:row r="19" ht="15" hidden="0" customHeight="1">
      <x:c r="A19" s="335" t="str">
        <x:v>Rate</x:v>
      </x:c>
      <x:c r="B19" s="337" t="str">
        <x:v>Year 1 tax</x:v>
      </x:c>
      <x:c r="C19" s="337" t="str">
        <x:v>Year 2 tax</x:v>
      </x:c>
      <x:c r="D19" s="337" t="str">
        <x:v>Year 3 tax</x:v>
      </x:c>
      <x:c r="E19" s="339" t="str">
        <x:v>Applicability</x:v>
      </x:c>
      <x:c r="F19" s="239"/>
      <x:c r="G19" s="239"/>
      <x:c r="H19" s="239"/>
      <x:c r="I19" s="239"/>
      <x:c r="J19" s="239"/>
    </x:row>
    <x:row r="20" ht="15" hidden="0" customHeight="1">
      <x:c r="A20" s="243" t="n">
        <x:f>'Assumptions'!$I$9</x:f>
        <x:v>0.25</x:v>
      </x:c>
      <x:c r="B20" s="242" t="n">
        <x:f>MAX(0,'Scenario Forecast'!B$46*$A20)</x:f>
        <x:v>22796</x:v>
      </x:c>
      <x:c r="C20" s="242" t="n">
        <x:f>MAX(0,'Scenario Forecast'!C$46*$A20)</x:f>
        <x:v>55727.296875</x:v>
      </x:c>
      <x:c r="D20" s="242" t="n">
        <x:f>MAX(0,'Scenario Forecast'!D$46*$A20)</x:f>
        <x:v>86593.390625</x:v>
      </x:c>
      <x:c r="E20" s="239" t="str">
        <x:v>Potential base-rate entity</x:v>
      </x:c>
      <x:c r="F20" s="239"/>
      <x:c r="G20" s="239"/>
      <x:c r="H20" s="239"/>
      <x:c r="I20" s="239"/>
      <x:c r="J20" s="239"/>
    </x:row>
    <x:row r="21" ht="15" hidden="0" customHeight="1">
      <x:c r="A21" s="243" t="n">
        <x:f>'Assumptions'!$I$10</x:f>
        <x:v>0.3</x:v>
      </x:c>
      <x:c r="B21" s="242" t="n">
        <x:f>MAX(0,'Scenario Forecast'!B$46*$A21)</x:f>
        <x:v>27355.2</x:v>
      </x:c>
      <x:c r="C21" s="242" t="n">
        <x:f>MAX(0,'Scenario Forecast'!C$46*$A21)</x:f>
        <x:v>66872.75624999999</x:v>
      </x:c>
      <x:c r="D21" s="242" t="n">
        <x:f>MAX(0,'Scenario Forecast'!D$46*$A21)</x:f>
        <x:v>103912.06874999999</x:v>
      </x:c>
      <x:c r="E21" s="239" t="str">
        <x:v>Other company rate</x:v>
      </x:c>
      <x:c r="F21" s="239"/>
      <x:c r="G21" s="239"/>
      <x:c r="H21" s="239"/>
      <x:c r="I21" s="239"/>
      <x:c r="J21" s="239"/>
    </x:row>
    <x:row r="22"/>
    <x:row r="23"/>
    <x:row r="24"/>
  </x:sheetData>
  <x:mergeCells>
    <x:mergeCell ref="A1:J1"/>
    <x:mergeCell ref="A2:J3"/>
    <x:mergeCell ref="A18:E1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14" hidden="0" customWidth="1"/>
    <x:col min="4" max="4" width="14" hidden="0" customWidth="1"/>
    <x:col min="5" max="5" width="16" hidden="0" customWidth="1"/>
    <x:col min="6" max="6" width="24" hidden="0" customWidth="1"/>
    <x:col min="7" max="7" width="18" hidden="0" customWidth="1"/>
    <x:col min="8" max="8" width="42" hidden="0" customWidth="1"/>
    <x:col min="9" max="9" width="43.5" hidden="0" customWidth="1"/>
    <x:col min="10" max="10" width="43.5" hidden="0" customWidth="1"/>
    <x:col min="11" max="11" width="43.5" hidden="0" customWidth="1"/>
    <x:col min="12" max="12" width="43.5" hidden="0" customWidth="1"/>
  </x:cols>
  <x:sheetData>
    <x:row r="1" ht="21.600000381469727" hidden="0" customHeight="1">
      <x:c r="A1" s="328" t="str">
        <x:v>Delivery Capacity — Base Scenario</x:v>
      </x:c>
      <x:c r="B1" s="4" t="str">
        <x:v>Delivery Capacity — Base Scenario</x:v>
      </x:c>
      <x:c r="C1" s="4" t="str">
        <x:v>Delivery Capacity — Base Scenario</x:v>
      </x:c>
      <x:c r="D1" s="4" t="str">
        <x:v>Delivery Capacity — Base Scenario</x:v>
      </x:c>
      <x:c r="E1" s="4" t="str">
        <x:v>Delivery Capacity — Base Scenario</x:v>
      </x:c>
      <x:c r="F1" s="4" t="str">
        <x:v>Delivery Capacity — Base Scenario</x:v>
      </x:c>
      <x:c r="G1" s="4" t="str">
        <x:v>Delivery Capacity — Base Scenario</x:v>
      </x:c>
      <x:c r="H1" s="4" t="str">
        <x:v>Delivery Capacity — Base Scenario</x:v>
      </x:c>
      <x:c r="I1" s="4" t="str">
        <x:v>Delivery Capacity — Base Scenario</x:v>
      </x:c>
      <x:c r="J1" s="4" t="str">
        <x:v>Delivery Capacity — Base Scenario</x:v>
      </x:c>
      <x:c r="K1" s="4" t="str">
        <x:v>Delivery Capacity — Base Scenario</x:v>
      </x:c>
      <x:c r="L1" s="4" t="str">
        <x:v>Delivery Capacity — Base Scenario</x:v>
      </x:c>
    </x:row>
    <x:row r="2">
      <x:c r="A2" s="244" t="str">
        <x:v>Capacity separates Australian consultant oversight from offshore developer execution. Developer FTE is a purchased-capacity equivalent, not a committed employee headcount. Add capacity only against signed backlog and after security, privacy, contracting and handover controls are approved.</x:v>
      </x:c>
      <x:c r="B2" s="244"/>
      <x:c r="C2" s="244"/>
      <x:c r="D2" s="244"/>
      <x:c r="E2" s="244"/>
      <x:c r="F2" s="244"/>
      <x:c r="G2" s="244"/>
      <x:c r="H2" s="244"/>
      <x:c r="I2" s="244"/>
      <x:c r="J2" s="244"/>
      <x:c r="K2" s="244"/>
      <x:c r="L2" s="244"/>
    </x:row>
    <x:row r="3">
      <x:c r="A3" s="244"/>
      <x:c r="B3" s="244"/>
      <x:c r="C3" s="244"/>
      <x:c r="D3" s="244"/>
      <x:c r="E3" s="244"/>
      <x:c r="F3" s="244"/>
      <x:c r="G3" s="244"/>
      <x:c r="H3" s="244"/>
      <x:c r="I3" s="244"/>
      <x:c r="J3" s="244"/>
      <x:c r="K3" s="244"/>
      <x:c r="L3" s="244"/>
    </x:row>
    <x:row r="4">
      <x:c r="A4" s="239"/>
      <x:c r="B4" s="239"/>
      <x:c r="C4" s="239"/>
      <x:c r="D4" s="239"/>
      <x:c r="E4" s="239"/>
      <x:c r="F4" s="239"/>
      <x:c r="G4" s="239"/>
      <x:c r="H4" s="239"/>
      <x:c r="I4" s="239"/>
      <x:c r="J4" s="239"/>
      <x:c r="K4" s="239"/>
      <x:c r="L4" s="239"/>
    </x:row>
    <x:row r="5" ht="15" hidden="0" customHeight="1">
      <x:c r="A5" s="335" t="str">
        <x:v>Metric</x:v>
      </x:c>
      <x:c r="B5" s="337" t="str">
        <x:v>Year 1</x:v>
      </x:c>
      <x:c r="C5" s="337" t="str">
        <x:v>Year 2</x:v>
      </x:c>
      <x:c r="D5" s="337" t="str">
        <x:v>Year 3</x:v>
      </x:c>
      <x:c r="E5" s="337" t="str">
        <x:v>Unit</x:v>
      </x:c>
      <x:c r="F5" s="337" t="str">
        <x:v>Trigger</x:v>
      </x:c>
      <x:c r="G5" s="337" t="str">
        <x:v>Owner</x:v>
      </x:c>
      <x:c r="H5" s="339" t="str">
        <x:v>Action</x:v>
      </x:c>
      <x:c r="I5" s="239"/>
      <x:c r="J5" s="239"/>
      <x:c r="K5" s="239"/>
      <x:c r="L5" s="239"/>
    </x:row>
    <x:row r="6" ht="42" hidden="0" customHeight="1">
      <x:c r="A6" s="239" t="str">
        <x:v>Revenue</x:v>
      </x:c>
      <x:c r="B6" s="242" t="n">
        <x:f>'Scenario Forecast'!B$32</x:f>
        <x:v>294600</x:v>
      </x:c>
      <x:c r="C6" s="242" t="n">
        <x:f>'Scenario Forecast'!C$32</x:f>
        <x:v>527200</x:v>
      </x:c>
      <x:c r="D6" s="242" t="n">
        <x:f>'Scenario Forecast'!D$32</x:f>
        <x:v>776100</x:v>
      </x:c>
      <x:c r="E6" s="245" t="str">
        <x:v>AUD</x:v>
      </x:c>
      <x:c r="F6" s="245" t="str">
        <x:v>Commercial readiness</x:v>
      </x:c>
      <x:c r="G6" s="245" t="str">
        <x:v>Founder</x:v>
      </x:c>
      <x:c r="H6" s="245" t="str">
        <x:v>Do not start forecast clock before launch gates pass</x:v>
      </x:c>
      <x:c r="I6" s="239"/>
      <x:c r="J6" s="239"/>
      <x:c r="K6" s="239"/>
      <x:c r="L6" s="239"/>
    </x:row>
    <x:row r="7" ht="42" hidden="0" customHeight="1">
      <x:c r="A7" s="239" t="str">
        <x:v>Consultant hours</x:v>
      </x:c>
      <x:c r="B7" s="310" t="n">
        <x:f>'Scenario Forecast'!B$34</x:f>
        <x:v>490</x:v>
      </x:c>
      <x:c r="C7" s="310" t="n">
        <x:f>'Scenario Forecast'!C$34</x:f>
        <x:v>837</x:v>
      </x:c>
      <x:c r="D7" s="310" t="n">
        <x:f>'Scenario Forecast'!D$34</x:f>
        <x:v>1189</x:v>
      </x:c>
      <x:c r="E7" s="245" t="str">
        <x:v>hours</x:v>
      </x:c>
      <x:c r="F7" s="245" t="str">
        <x:v>Signed backlog</x:v>
      </x:c>
      <x:c r="G7" s="245" t="str">
        <x:v>Delivery lead</x:v>
      </x:c>
      <x:c r="H7" s="245" t="str">
        <x:v>Track by offer, milestone and stabilisation</x:v>
      </x:c>
      <x:c r="I7" s="239"/>
      <x:c r="J7" s="239"/>
      <x:c r="K7" s="239"/>
      <x:c r="L7" s="239"/>
    </x:row>
    <x:row r="8" ht="42" hidden="0" customHeight="1">
      <x:c r="A8" s="239" t="str">
        <x:v>Offshore developer hours</x:v>
      </x:c>
      <x:c r="B8" s="310" t="n">
        <x:f>'Scenario Forecast'!B$35</x:f>
        <x:v>372</x:v>
      </x:c>
      <x:c r="C8" s="310" t="n">
        <x:f>'Scenario Forecast'!C$35</x:f>
        <x:v>685</x:v>
      </x:c>
      <x:c r="D8" s="310" t="n">
        <x:f>'Scenario Forecast'!D$35</x:f>
        <x:v>1037</x:v>
      </x:c>
      <x:c r="E8" s="245" t="str">
        <x:v>hours</x:v>
      </x:c>
      <x:c r="F8" s="245" t="str">
        <x:v>Approved offshore setup</x:v>
      </x:c>
      <x:c r="G8" s="245" t="str">
        <x:v>Technical lead</x:v>
      </x:c>
      <x:c r="H8" s="245" t="str">
        <x:v>Keep production data outside offshore access unless approved</x:v>
      </x:c>
      <x:c r="I8" s="239"/>
      <x:c r="J8" s="239"/>
      <x:c r="K8" s="239"/>
      <x:c r="L8" s="239"/>
    </x:row>
    <x:row r="9" ht="42" hidden="0" customHeight="1">
      <x:c r="A9" s="239" t="str">
        <x:v>Consultant FTE</x:v>
      </x:c>
      <x:c r="B9" s="295" t="n">
        <x:f>B7/'Assumptions'!$C$9</x:f>
        <x:v>0.4188034188034188</x:v>
      </x:c>
      <x:c r="C9" s="295" t="n">
        <x:f>C7/'Assumptions'!$C$9</x:f>
        <x:v>0.7153846153846154</x:v>
      </x:c>
      <x:c r="D9" s="295" t="n">
        <x:f>D7/'Assumptions'!$C$9</x:f>
        <x:v>1.0162393162393162</x:v>
      </x:c>
      <x:c r="E9" s="245" t="str">
        <x:v>FTE</x:v>
      </x:c>
      <x:c r="F9" s="245" t="str">
        <x:v>&gt;0.85 for 8–12 weeks</x:v>
      </x:c>
      <x:c r="G9" s="245" t="str">
        <x:v>Founder</x:v>
      </x:c>
      <x:c r="H9" s="245" t="str">
        <x:v>Add consultant capacity before quality or sales follow-up slips</x:v>
      </x:c>
      <x:c r="I9" s="239"/>
      <x:c r="J9" s="239"/>
      <x:c r="K9" s="239"/>
      <x:c r="L9" s="239"/>
    </x:row>
    <x:row r="10" ht="42" hidden="0" customHeight="1">
      <x:c r="A10" s="239" t="str">
        <x:v>Developer FTE equivalent</x:v>
      </x:c>
      <x:c r="B10" s="295" t="n">
        <x:f>B8/'Assumptions'!$C$10</x:f>
        <x:v>0.26571428571428574</x:v>
      </x:c>
      <x:c r="C10" s="295" t="n">
        <x:f>C8/'Assumptions'!$C$10</x:f>
        <x:v>0.48928571428571427</x:v>
      </x:c>
      <x:c r="D10" s="295" t="n">
        <x:f>D8/'Assumptions'!$C$10</x:f>
        <x:v>0.7407142857142858</x:v>
      </x:c>
      <x:c r="E10" s="245" t="str">
        <x:v>FTE equivalent</x:v>
      </x:c>
      <x:c r="F10" s="245" t="str">
        <x:v>&gt;0.80 for 8–12 weeks</x:v>
      </x:c>
      <x:c r="G10" s="245" t="str">
        <x:v>Technical lead</x:v>
      </x:c>
      <x:c r="H10" s="245" t="str">
        <x:v>Secure second developer / continuity cover</x:v>
      </x:c>
      <x:c r="I10" s="239"/>
      <x:c r="J10" s="239"/>
      <x:c r="K10" s="239"/>
      <x:c r="L10" s="239"/>
    </x:row>
    <x:row r="11" ht="42" hidden="0" customHeight="1">
      <x:c r="A11" s="239" t="str">
        <x:v>Total delivery FTE equivalent</x:v>
      </x:c>
      <x:c r="B11" s="295" t="n">
        <x:f>SUM(B9:B10)</x:f>
        <x:v>0.6845177045177046</x:v>
      </x:c>
      <x:c r="C11" s="295" t="n">
        <x:f>SUM(C9:C10)</x:f>
        <x:v>1.2046703296703296</x:v>
      </x:c>
      <x:c r="D11" s="295" t="n">
        <x:f>SUM(D9:D10)</x:f>
        <x:v>1.7569536019536018</x:v>
      </x:c>
      <x:c r="E11" s="245" t="str">
        <x:v>FTE equivalent</x:v>
      </x:c>
      <x:c r="F11" s="245" t="str">
        <x:v>Role-specific</x:v>
      </x:c>
      <x:c r="G11" s="245" t="str">
        <x:v>Founder</x:v>
      </x:c>
      <x:c r="H11" s="245" t="str">
        <x:v>Do not treat blended FTE as interchangeable roles</x:v>
      </x:c>
      <x:c r="I11" s="239"/>
      <x:c r="J11" s="239"/>
      <x:c r="K11" s="239"/>
      <x:c r="L11" s="239"/>
    </x:row>
    <x:row r="12" ht="42" hidden="0" customHeight="1">
      <x:c r="A12" s="239" t="str">
        <x:v>Consultant capacity status</x:v>
      </x:c>
      <x:c r="B12" s="241" t="str">
        <x:f>IF(B9&gt;1.15,"Over capacity",IF(B9&gt;0.85,"Hire gate","Available"))</x:f>
        <x:v>Available</x:v>
      </x:c>
      <x:c r="C12" s="241" t="str">
        <x:f>IF(C9&gt;1.15,"Over capacity",IF(C9&gt;0.85,"Hire gate","Available"))</x:f>
        <x:v>Available</x:v>
      </x:c>
      <x:c r="D12" s="241" t="str">
        <x:f>IF(D9&gt;1.15,"Over capacity",IF(D9&gt;0.85,"Hire gate","Available"))</x:f>
        <x:v>Hire gate</x:v>
      </x:c>
      <x:c r="E12" s="245" t="str">
        <x:v>status</x:v>
      </x:c>
      <x:c r="F12" s="245" t="str">
        <x:v>0.85 / 1.15</x:v>
      </x:c>
      <x:c r="G12" s="245" t="str">
        <x:v>Founder</x:v>
      </x:c>
      <x:c r="H12" s="245" t="str">
        <x:v>Hire gate / over capacity</x:v>
      </x:c>
      <x:c r="I12" s="239"/>
      <x:c r="J12" s="239"/>
      <x:c r="K12" s="239"/>
      <x:c r="L12" s="239"/>
    </x:row>
    <x:row r="13" ht="42" hidden="0" customHeight="1">
      <x:c r="A13" s="239" t="str">
        <x:v>Developer capacity status</x:v>
      </x:c>
      <x:c r="B13" s="241" t="str">
        <x:f>IF(B10&gt;1.10,"Over capacity",IF(B10&gt;0.80,"Continuity gate","Available"))</x:f>
        <x:v>Available</x:v>
      </x:c>
      <x:c r="C13" s="241" t="str">
        <x:f>IF(C10&gt;1.10,"Over capacity",IF(C10&gt;0.80,"Continuity gate","Available"))</x:f>
        <x:v>Available</x:v>
      </x:c>
      <x:c r="D13" s="241" t="str">
        <x:f>IF(D10&gt;1.10,"Over capacity",IF(D10&gt;0.80,"Continuity gate","Available"))</x:f>
        <x:v>Available</x:v>
      </x:c>
      <x:c r="E13" s="245" t="str">
        <x:v>status</x:v>
      </x:c>
      <x:c r="F13" s="245" t="str">
        <x:v>0.80 / 1.10</x:v>
      </x:c>
      <x:c r="G13" s="245" t="str">
        <x:v>Technical lead</x:v>
      </x:c>
      <x:c r="H13" s="245" t="str">
        <x:v>Continuity and handover gate</x:v>
      </x:c>
      <x:c r="I13" s="239"/>
      <x:c r="J13" s="239"/>
      <x:c r="K13" s="239"/>
      <x:c r="L13" s="239"/>
    </x:row>
    <x:row r="14" ht="42" hidden="0" customHeight="1">
      <x:c r="A14" s="239" t="str">
        <x:v>Offshore developer fees</x:v>
      </x:c>
      <x:c r="B14" s="242" t="n">
        <x:f>'Scenario Forecast'!B$37</x:f>
        <x:v>12090</x:v>
      </x:c>
      <x:c r="C14" s="242" t="n">
        <x:f>'Scenario Forecast'!C$37</x:f>
        <x:v>22262.5</x:v>
      </x:c>
      <x:c r="D14" s="242" t="n">
        <x:f>'Scenario Forecast'!D$37</x:f>
        <x:v>33702.5</x:v>
      </x:c>
      <x:c r="E14" s="245" t="str">
        <x:v>AUD</x:v>
      </x:c>
      <x:c r="F14" s="245" t="str">
        <x:v>Vendor invoice</x:v>
      </x:c>
      <x:c r="G14" s="245" t="str">
        <x:v>Finance</x:v>
      </x:c>
      <x:c r="H14" s="245" t="str">
        <x:v>Reconcile FX and payment costs monthly</x:v>
      </x:c>
      <x:c r="I14" s="239"/>
      <x:c r="J14" s="239"/>
      <x:c r="K14" s="239"/>
      <x:c r="L14" s="239"/>
    </x:row>
    <x:row r="15" ht="42" hidden="0" customHeight="1">
      <x:c r="A15" s="239" t="str">
        <x:v>Offshore execution uplift</x:v>
      </x:c>
      <x:c r="B15" s="242" t="n">
        <x:f>'Scenario Forecast'!B$38</x:f>
        <x:v>3022.5</x:v>
      </x:c>
      <x:c r="C15" s="242" t="n">
        <x:f>'Scenario Forecast'!C$38</x:f>
        <x:v>5565.625</x:v>
      </x:c>
      <x:c r="D15" s="242" t="n">
        <x:f>'Scenario Forecast'!D$38</x:f>
        <x:v>8425.625</x:v>
      </x:c>
      <x:c r="E15" s="245" t="str">
        <x:v>AUD</x:v>
      </x:c>
      <x:c r="F15" s="245" t="str">
        <x:v>Actual overhead</x:v>
      </x:c>
      <x:c r="G15" s="245" t="str">
        <x:v>Finance</x:v>
      </x:c>
      <x:c r="H15" s="245" t="str">
        <x:v>Replace 25% allowance after three engagements</x:v>
      </x:c>
      <x:c r="I15" s="239"/>
      <x:c r="J15" s="239"/>
      <x:c r="K15" s="239"/>
      <x:c r="L15" s="239"/>
    </x:row>
    <x:row r="16">
      <x:c r="A16" s="239"/>
      <x:c r="B16" s="239"/>
      <x:c r="C16" s="239"/>
      <x:c r="D16" s="239"/>
      <x:c r="E16" s="239"/>
      <x:c r="F16" s="239"/>
      <x:c r="G16" s="239"/>
      <x:c r="H16" s="239"/>
      <x:c r="I16" s="239"/>
      <x:c r="J16" s="239"/>
      <x:c r="K16" s="239"/>
      <x:c r="L16" s="239"/>
    </x:row>
    <x:row r="17">
      <x:c r="A17" s="239"/>
      <x:c r="B17" s="239"/>
      <x:c r="C17" s="239"/>
      <x:c r="D17" s="239"/>
      <x:c r="E17" s="239"/>
      <x:c r="F17" s="239"/>
      <x:c r="G17" s="239"/>
      <x:c r="H17" s="239"/>
      <x:c r="I17" s="239"/>
      <x:c r="J17" s="239"/>
      <x:c r="K17" s="239"/>
      <x:c r="L17" s="239"/>
    </x:row>
    <x:row r="18" ht="15" hidden="0" customHeight="1">
      <x:c r="A18" s="335" t="str">
        <x:v>Capacity</x:v>
      </x:c>
      <x:c r="B18" s="337" t="str">
        <x:v>Year 1</x:v>
      </x:c>
      <x:c r="C18" s="337" t="str">
        <x:v>Year 2</x:v>
      </x:c>
      <x:c r="D18" s="339" t="str">
        <x:v>Year 3</x:v>
      </x:c>
      <x:c r="E18" s="239"/>
      <x:c r="F18" s="239"/>
      <x:c r="G18" s="239"/>
      <x:c r="H18" s="239"/>
      <x:c r="I18" s="239"/>
      <x:c r="J18" s="239"/>
      <x:c r="K18" s="239"/>
      <x:c r="L18" s="239"/>
    </x:row>
    <x:row r="19" ht="15" hidden="0" customHeight="1">
      <x:c r="A19" s="239" t="str">
        <x:f>"Consultant FTE"</x:f>
        <x:v>Consultant FTE</x:v>
      </x:c>
      <x:c r="B19" s="326" t="n">
        <x:f>B9</x:f>
        <x:v>0.4188034188034188</x:v>
      </x:c>
      <x:c r="C19" s="326" t="n">
        <x:f>C9</x:f>
        <x:v>0.7153846153846154</x:v>
      </x:c>
      <x:c r="D19" s="326" t="n">
        <x:f>D9</x:f>
        <x:v>1.0162393162393162</x:v>
      </x:c>
      <x:c r="E19" s="239"/>
      <x:c r="F19" s="239"/>
      <x:c r="G19" s="239"/>
      <x:c r="H19" s="239"/>
      <x:c r="I19" s="239"/>
      <x:c r="J19" s="239"/>
      <x:c r="K19" s="239"/>
      <x:c r="L19" s="239"/>
    </x:row>
    <x:row r="20" ht="15" hidden="0" customHeight="1">
      <x:c r="A20" s="239" t="str">
        <x:f>"Developer FTE"</x:f>
        <x:v>Developer FTE</x:v>
      </x:c>
      <x:c r="B20" s="326" t="n">
        <x:f>B10</x:f>
        <x:v>0.26571428571428574</x:v>
      </x:c>
      <x:c r="C20" s="326" t="n">
        <x:f>C10</x:f>
        <x:v>0.48928571428571427</x:v>
      </x:c>
      <x:c r="D20" s="326" t="n">
        <x:f>D10</x:f>
        <x:v>0.7407142857142858</x:v>
      </x:c>
      <x:c r="E20" s="239"/>
      <x:c r="F20" s="239"/>
      <x:c r="G20" s="239"/>
      <x:c r="H20" s="239"/>
      <x:c r="I20" s="239"/>
      <x:c r="J20" s="239"/>
      <x:c r="K20" s="239"/>
      <x:c r="L20" s="239"/>
    </x:row>
    <x:row r="21" ht="15" hidden="0" customHeight="1">
      <x:c r="A21" s="239" t="str">
        <x:f>"Total FTE equivalent"</x:f>
        <x:v>Total FTE equivalent</x:v>
      </x:c>
      <x:c r="B21" s="326" t="n">
        <x:f>B11</x:f>
        <x:v>0.6845177045177046</x:v>
      </x:c>
      <x:c r="C21" s="326" t="n">
        <x:f>C11</x:f>
        <x:v>1.2046703296703296</x:v>
      </x:c>
      <x:c r="D21" s="326" t="n">
        <x:f>D11</x:f>
        <x:v>1.7569536019536018</x:v>
      </x:c>
      <x:c r="E21" s="239"/>
      <x:c r="F21" s="239"/>
      <x:c r="G21" s="239"/>
      <x:c r="H21" s="239"/>
      <x:c r="I21" s="239"/>
      <x:c r="J21" s="239"/>
      <x:c r="K21" s="239"/>
      <x:c r="L21" s="239"/>
    </x:row>
    <x:row r="22"/>
    <x:row r="23"/>
    <x:row r="24"/>
    <x:row r="25"/>
    <x:row r="26"/>
    <x:row r="27"/>
    <x:row r="28"/>
    <x:row r="29"/>
    <x:row r="30"/>
    <x:row r="31"/>
    <x:row r="32"/>
    <x:row r="33"/>
    <x:row r="34"/>
  </x:sheetData>
  <x:mergeCells>
    <x:mergeCell ref="A1:L1"/>
    <x:mergeCell ref="A2:L3"/>
  </x:mergeCells>
  <x:conditionalFormatting sqref="B12:D13">
    <x:cfRule type="containsText" dxfId="6" priority="1" operator="containsText" text="Over"/>
    <x:cfRule type="containsText" dxfId="7" priority="2" operator="containsText" text="gate"/>
    <x:cfRule type="containsText" dxfId="8" priority="3" operator="containsText" text="Available"/>
  </x:conditionalFormatting>
  <x:pageMargins left="0.7" right="0.7" top="0.75" bottom="0.75" header="0.3" footer="0.3"/>
  <x:drawing xmlns:r="http://schemas.openxmlformats.org/officeDocument/2006/relationships" r:id="Ref2f6902e9e1468d"/>
</x:worksheet>
</file>

<file path=xl/worksheets/sheet9.xml><?xml version="1.0" encoding="utf-8"?>
<x:worksheet xmlns:x="http://schemas.openxmlformats.org/spreadsheetml/2006/main">
  <x:sheetViews>
    <x:sheetView showGridLines="0" workbookViewId="0"/>
  </x:sheetViews>
  <x:sheetFormatPr defaultRowHeight="15"/>
  <x:cols>
    <x:col min="1" max="1" width="45" hidden="0" customWidth="1"/>
    <x:col min="2" max="2" width="17" hidden="0" customWidth="1"/>
    <x:col min="3" max="3" width="20" hidden="0" customWidth="1"/>
    <x:col min="4" max="4" width="16" hidden="0" customWidth="1"/>
    <x:col min="5" max="5" width="13" hidden="0" customWidth="1"/>
    <x:col min="6" max="6" width="13" hidden="0" customWidth="1"/>
    <x:col min="7" max="7" width="33" hidden="0" customWidth="1"/>
  </x:cols>
  <x:sheetData>
    <x:row r="1" ht="21.600000381469727" hidden="0" customHeight="1">
      <x:c r="A1" s="328" t="str">
        <x:v>Model Checks</x:v>
      </x:c>
      <x:c r="B1" s="4" t="str">
        <x:v>Model Checks</x:v>
      </x:c>
      <x:c r="C1" s="4" t="str">
        <x:v>Model Checks</x:v>
      </x:c>
      <x:c r="D1" s="4" t="str">
        <x:v>Model Checks</x:v>
      </x:c>
      <x:c r="E1" s="4" t="str">
        <x:v>Model Checks</x:v>
      </x:c>
      <x:c r="F1" s="4" t="str">
        <x:v>Model Checks</x:v>
      </x:c>
      <x:c r="G1" s="4" t="str">
        <x:v>Model Checks</x:v>
      </x:c>
    </x:row>
    <x:row r="2">
      <x:c r="A2" s="239"/>
      <x:c r="B2" s="239"/>
      <x:c r="C2" s="239"/>
      <x:c r="D2" s="239"/>
      <x:c r="E2" s="239"/>
      <x:c r="F2" s="239"/>
      <x:c r="G2" s="239"/>
    </x:row>
    <x:row r="3" ht="15" hidden="0" customHeight="1">
      <x:c r="A3" s="335" t="str">
        <x:v>Check</x:v>
      </x:c>
      <x:c r="B3" s="337" t="str">
        <x:v>Actual</x:v>
      </x:c>
      <x:c r="C3" s="337" t="str">
        <x:v>Expected / minimum</x:v>
      </x:c>
      <x:c r="D3" s="337" t="str">
        <x:v>Difference</x:v>
      </x:c>
      <x:c r="E3" s="337" t="str">
        <x:v>Tolerance</x:v>
      </x:c>
      <x:c r="F3" s="337" t="str">
        <x:v>Status</x:v>
      </x:c>
      <x:c r="G3" s="339" t="str">
        <x:v>Where to fix</x:v>
      </x:c>
    </x:row>
    <x:row r="4" ht="15" hidden="0" customHeight="1">
      <x:c r="A4" s="239" t="str">
        <x:v>Consultant low rate matches owner input</x:v>
      </x:c>
      <x:c r="B4" s="299" t="n">
        <x:f>'Assumptions'!B7</x:f>
        <x:v>80</x:v>
      </x:c>
      <x:c r="C4" s="299" t="n">
        <x:f>80</x:f>
        <x:v>80</x:v>
      </x:c>
      <x:c r="D4" s="299" t="n">
        <x:f>B4-C4</x:f>
        <x:v>0</x:v>
      </x:c>
      <x:c r="E4" s="299" t="n">
        <x:v>1</x:v>
      </x:c>
      <x:c r="F4" s="239" t="str">
        <x:f>IF(ABS(D4)&lt;=E4,"OK","FAIL")</x:f>
        <x:v>OK</x:v>
      </x:c>
      <x:c r="G4" s="239" t="str">
        <x:v>Assumptions B7</x:v>
      </x:c>
    </x:row>
    <x:row r="5" ht="15" hidden="0" customHeight="1">
      <x:c r="A5" s="239" t="str">
        <x:v>Consultant high rate matches owner input</x:v>
      </x:c>
      <x:c r="B5" s="299" t="n">
        <x:f>'Assumptions'!D7</x:f>
        <x:v>100</x:v>
      </x:c>
      <x:c r="C5" s="299" t="n">
        <x:f>100</x:f>
        <x:v>100</x:v>
      </x:c>
      <x:c r="D5" s="299" t="n">
        <x:f>B5-C5</x:f>
        <x:v>0</x:v>
      </x:c>
      <x:c r="E5" s="299" t="n">
        <x:v>1</x:v>
      </x:c>
      <x:c r="F5" s="239" t="str">
        <x:f>IF(ABS(D5)&lt;=E5,"OK","FAIL")</x:f>
        <x:v>OK</x:v>
      </x:c>
      <x:c r="G5" s="239" t="str">
        <x:v>Assumptions D7</x:v>
      </x:c>
    </x:row>
    <x:row r="6" ht="15" hidden="0" customHeight="1">
      <x:c r="A6" s="239" t="str">
        <x:v>Developer low rate matches owner input</x:v>
      </x:c>
      <x:c r="B6" s="299" t="n">
        <x:f>'Assumptions'!B8</x:f>
        <x:v>30</x:v>
      </x:c>
      <x:c r="C6" s="299" t="n">
        <x:f>30</x:f>
        <x:v>30</x:v>
      </x:c>
      <x:c r="D6" s="299" t="n">
        <x:f>B6-C6</x:f>
        <x:v>0</x:v>
      </x:c>
      <x:c r="E6" s="299" t="n">
        <x:v>1</x:v>
      </x:c>
      <x:c r="F6" s="239" t="str">
        <x:f>IF(ABS(D6)&lt;=E6,"OK","FAIL")</x:f>
        <x:v>OK</x:v>
      </x:c>
      <x:c r="G6" s="239" t="str">
        <x:v>Assumptions B8</x:v>
      </x:c>
    </x:row>
    <x:row r="7" ht="15" hidden="0" customHeight="1">
      <x:c r="A7" s="239" t="str">
        <x:v>Developer high rate matches owner input</x:v>
      </x:c>
      <x:c r="B7" s="299" t="n">
        <x:f>'Assumptions'!D8</x:f>
        <x:v>35</x:v>
      </x:c>
      <x:c r="C7" s="299" t="n">
        <x:f>35</x:f>
        <x:v>35</x:v>
      </x:c>
      <x:c r="D7" s="299" t="n">
        <x:f>B7-C7</x:f>
        <x:v>0</x:v>
      </x:c>
      <x:c r="E7" s="299" t="n">
        <x:v>1</x:v>
      </x:c>
      <x:c r="F7" s="239" t="str">
        <x:f>IF(ABS(D7)&lt;=E7,"OK","FAIL")</x:f>
        <x:v>OK</x:v>
      </x:c>
      <x:c r="G7" s="239" t="str">
        <x:v>Assumptions D8</x:v>
      </x:c>
    </x:row>
    <x:row r="8" ht="15" hidden="0" customHeight="1">
      <x:c r="A8" s="239" t="str">
        <x:v>All offers clear target GM at high rates</x:v>
      </x:c>
      <x:c r="B8" s="327" t="n">
        <x:f>MIN('Unit Economics'!I6-'Assumptions'!G24,'Unit Economics'!I7-'Assumptions'!G25,'Unit Economics'!I8-'Assumptions'!G26,'Unit Economics'!I9-'Assumptions'!G27,'Unit Economics'!I10-'Assumptions'!G28,'Unit Economics'!I11-'Assumptions'!G29)</x:f>
        <x:v>0.0038888888888889417</x:v>
      </x:c>
      <x:c r="C8" s="327" t="n">
        <x:f>0</x:f>
        <x:v>0</x:v>
      </x:c>
      <x:c r="D8" s="327" t="n">
        <x:f>B8-C8</x:f>
        <x:v>0.0038888888888889417</x:v>
      </x:c>
      <x:c r="E8" s="327" t="n">
        <x:v>0</x:v>
      </x:c>
      <x:c r="F8" s="239" t="str">
        <x:f>IF(B8&gt;=C8,"OK","FAIL")</x:f>
        <x:v>OK</x:v>
      </x:c>
      <x:c r="G8" s="239" t="str">
        <x:v>Unit Economics / prices</x:v>
      </x:c>
    </x:row>
    <x:row r="9" ht="15" hidden="0" customHeight="1">
      <x:c r="A9" s="239" t="str">
        <x:v>Base Year 1 revenue ties to offer units</x:v>
      </x:c>
      <x:c r="B9" s="299" t="n">
        <x:f>'Scenario Forecast'!B32</x:f>
        <x:v>294600</x:v>
      </x:c>
      <x:c r="C9" s="299" t="n">
        <x:f>SUMPRODUCT('Assumptions'!$C$24:$C$29,'Assumptions'!$L$24:$L$29)</x:f>
        <x:v>294600</x:v>
      </x:c>
      <x:c r="D9" s="299" t="n">
        <x:f>B9-C9</x:f>
        <x:v>0</x:v>
      </x:c>
      <x:c r="E9" s="299" t="n">
        <x:v>1</x:v>
      </x:c>
      <x:c r="F9" s="239" t="str">
        <x:f>IF(ABS(D9)&lt;=E9,"OK","FAIL")</x:f>
        <x:v>OK</x:v>
      </x:c>
      <x:c r="G9" s="239" t="str">
        <x:v>Scenario Forecast / Assumptions</x:v>
      </x:c>
    </x:row>
    <x:row r="10" ht="15" hidden="0" customHeight="1">
      <x:c r="A10" s="239" t="str">
        <x:v>Base Year 3 direct cost sums to components</x:v>
      </x:c>
      <x:c r="B10" s="299" t="n">
        <x:f>'Scenario Forecast'!D42</x:f>
        <x:v>202062.9375</x:v>
      </x:c>
      <x:c r="C10" s="299" t="n">
        <x:f>SUM('Scenario Forecast'!D36:D41)</x:f>
        <x:v>202062.9375</x:v>
      </x:c>
      <x:c r="D10" s="299" t="n">
        <x:f>B10-C10</x:f>
        <x:v>0</x:v>
      </x:c>
      <x:c r="E10" s="299" t="n">
        <x:v>1</x:v>
      </x:c>
      <x:c r="F10" s="239" t="str">
        <x:f>IF(ABS(D10)&lt;=E10,"OK","FAIL")</x:f>
        <x:v>OK</x:v>
      </x:c>
      <x:c r="G10" s="239" t="str">
        <x:v>Scenario Forecast</x:v>
      </x:c>
    </x:row>
    <x:row r="11" ht="15" hidden="0" customHeight="1">
      <x:c r="A11" s="239" t="str">
        <x:v>Base Year 1 gross margin clears project target</x:v>
      </x:c>
      <x:c r="B11" s="327" t="n">
        <x:f>'Scenario Forecast'!B44</x:f>
        <x:v>0.7297021384928717</x:v>
      </x:c>
      <x:c r="C11" s="327" t="n">
        <x:f>'Assumptions'!$B$17</x:f>
        <x:v>0.65</x:v>
      </x:c>
      <x:c r="D11" s="327" t="n">
        <x:f>B11-C11</x:f>
        <x:v>0.07970213849287167</x:v>
      </x:c>
      <x:c r="E11" s="327" t="n">
        <x:v>0</x:v>
      </x:c>
      <x:c r="F11" s="239" t="str">
        <x:f>IF(B11&gt;=C11,"OK","FAIL")</x:f>
        <x:v>OK</x:v>
      </x:c>
      <x:c r="G11" s="239" t="str">
        <x:v>Unit Economics / Assumptions</x:v>
      </x:c>
    </x:row>
    <x:row r="12" ht="15" hidden="0" customHeight="1">
      <x:c r="A12" s="239" t="str">
        <x:v>Base Year 3 gross margin clears project target</x:v>
      </x:c>
      <x:c r="B12" s="327" t="n">
        <x:f>'Scenario Forecast'!D44</x:f>
        <x:v>0.7396431677618863</x:v>
      </x:c>
      <x:c r="C12" s="327" t="n">
        <x:f>'Assumptions'!$B$17</x:f>
        <x:v>0.65</x:v>
      </x:c>
      <x:c r="D12" s="327" t="n">
        <x:f>B12-C12</x:f>
        <x:v>0.0896431677618863</x:v>
      </x:c>
      <x:c r="E12" s="327" t="n">
        <x:v>0</x:v>
      </x:c>
      <x:c r="F12" s="239" t="str">
        <x:f>IF(B12&gt;=C12,"OK","FAIL")</x:f>
        <x:v>OK</x:v>
      </x:c>
      <x:c r="G12" s="239" t="str">
        <x:v>Unit Economics / Assumptions</x:v>
      </x:c>
    </x:row>
    <x:row r="13" ht="15" hidden="0" customHeight="1">
      <x:c r="A13" s="239" t="str">
        <x:v>Base Year 1 opex ties to budget</x:v>
      </x:c>
      <x:c r="B13" s="299" t="n">
        <x:f>'Scenario Forecast'!B45</x:f>
        <x:v>123786.25</x:v>
      </x:c>
      <x:c r="C13" s="299" t="n">
        <x:f>'Operating Budget'!B22</x:f>
        <x:v>123786.25</x:v>
      </x:c>
      <x:c r="D13" s="299" t="n">
        <x:f>B13-C13</x:f>
        <x:v>0</x:v>
      </x:c>
      <x:c r="E13" s="299" t="n">
        <x:v>1</x:v>
      </x:c>
      <x:c r="F13" s="239" t="str">
        <x:f>IF(ABS(D13)&lt;=E13,"OK","FAIL")</x:f>
        <x:v>OK</x:v>
      </x:c>
      <x:c r="G13" s="239" t="str">
        <x:v>Operating Budget</x:v>
      </x:c>
    </x:row>
    <x:row r="14" ht="15" hidden="0" customHeight="1">
      <x:c r="A14" s="239" t="str">
        <x:v>Quarterly Year 1 revenue sums to annual</x:v>
      </x:c>
      <x:c r="B14" s="299" t="n">
        <x:f>SUM('Base Quarterly'!B7:E7)</x:f>
        <x:v>294600</x:v>
      </x:c>
      <x:c r="C14" s="299" t="n">
        <x:f>'Scenario Forecast'!B32</x:f>
        <x:v>294600</x:v>
      </x:c>
      <x:c r="D14" s="299" t="n">
        <x:f>B14-C14</x:f>
        <x:v>0</x:v>
      </x:c>
      <x:c r="E14" s="299" t="n">
        <x:v>1</x:v>
      </x:c>
      <x:c r="F14" s="239" t="str">
        <x:f>IF(ABS(D14)&lt;=E14,"OK","FAIL")</x:f>
        <x:v>OK</x:v>
      </x:c>
      <x:c r="G14" s="239" t="str">
        <x:v>Base Quarterly weights</x:v>
      </x:c>
    </x:row>
    <x:row r="15" ht="15" hidden="0" customHeight="1">
      <x:c r="A15" s="239" t="str">
        <x:v>Quarterly Year 2 revenue sums to annual</x:v>
      </x:c>
      <x:c r="B15" s="299" t="n">
        <x:f>SUM('Base Quarterly'!F7:I7)</x:f>
        <x:v>527200</x:v>
      </x:c>
      <x:c r="C15" s="299" t="n">
        <x:f>'Scenario Forecast'!C32</x:f>
        <x:v>527200</x:v>
      </x:c>
      <x:c r="D15" s="299" t="n">
        <x:f>B15-C15</x:f>
        <x:v>0</x:v>
      </x:c>
      <x:c r="E15" s="299" t="n">
        <x:v>1</x:v>
      </x:c>
      <x:c r="F15" s="239" t="str">
        <x:f>IF(ABS(D15)&lt;=E15,"OK","FAIL")</x:f>
        <x:v>OK</x:v>
      </x:c>
      <x:c r="G15" s="239" t="str">
        <x:v>Base Quarterly weights</x:v>
      </x:c>
    </x:row>
    <x:row r="16" ht="15" hidden="0" customHeight="1">
      <x:c r="A16" s="239" t="str">
        <x:v>Quarterly Year 3 revenue sums to annual</x:v>
      </x:c>
      <x:c r="B16" s="299" t="n">
        <x:f>SUM('Base Quarterly'!J7:M7)</x:f>
        <x:v>776100</x:v>
      </x:c>
      <x:c r="C16" s="299" t="n">
        <x:f>'Scenario Forecast'!D32</x:f>
        <x:v>776100</x:v>
      </x:c>
      <x:c r="D16" s="299" t="n">
        <x:f>B16-C16</x:f>
        <x:v>0</x:v>
      </x:c>
      <x:c r="E16" s="299" t="n">
        <x:v>1</x:v>
      </x:c>
      <x:c r="F16" s="239" t="str">
        <x:f>IF(ABS(D16)&lt;=E16,"OK","FAIL")</x:f>
        <x:v>OK</x:v>
      </x:c>
      <x:c r="G16" s="239" t="str">
        <x:v>Base Quarterly weights</x:v>
      </x:c>
    </x:row>
    <x:row r="17">
      <x:c r="A17" s="239"/>
      <x:c r="B17" s="239"/>
      <x:c r="C17" s="239"/>
      <x:c r="D17" s="239"/>
      <x:c r="E17" s="239"/>
      <x:c r="F17" s="239"/>
      <x:c r="G17" s="239"/>
    </x:row>
    <x:row r="18">
      <x:c r="A18" s="239"/>
      <x:c r="B18" s="239"/>
      <x:c r="C18" s="239"/>
      <x:c r="D18" s="239"/>
      <x:c r="E18" s="239"/>
      <x:c r="F18" s="239"/>
      <x:c r="G18" s="239"/>
    </x:row>
    <x:row r="19" ht="15" hidden="0" customHeight="1">
      <x:c r="A19" s="329" t="str">
        <x:v>Model status</x:v>
      </x:c>
      <x:c r="B19" s="11" t="str">
        <x:v>Model status</x:v>
      </x:c>
      <x:c r="C19" s="11" t="str">
        <x:v>Model status</x:v>
      </x:c>
      <x:c r="D19" s="11" t="str">
        <x:v>Model status</x:v>
      </x:c>
      <x:c r="E19" s="11" t="str">
        <x:v>Model status</x:v>
      </x:c>
      <x:c r="F19" s="11" t="str">
        <x:v>Model status</x:v>
      </x:c>
      <x:c r="G19" s="11" t="str">
        <x:v>Model status</x:v>
      </x:c>
    </x:row>
    <x:row r="20">
      <x:c r="A20" s="170" t="str">
        <x:f>IF(COUNTIF(F4:F16,"FAIL")=0,"MODEL STATUS: PASS","MODEL STATUS: FAIL")</x:f>
        <x:v>MODEL STATUS: PASS</x:v>
      </x:c>
      <x:c r="B20" s="170"/>
      <x:c r="C20" s="170"/>
      <x:c r="D20" s="244" t="str">
        <x:v>PASS means the workbook reconciles internally and the user-supplied labour ranges are applied. It does not approve price points, entity/GST status, insurance, tax treatment, vendor arrangements or delivery capacity. Those remain owner/accountant/legal decisions.</x:v>
      </x:c>
      <x:c r="E20" s="244"/>
      <x:c r="F20" s="244"/>
      <x:c r="G20" s="244"/>
    </x:row>
    <x:row r="21">
      <x:c r="A21" s="170"/>
      <x:c r="B21" s="170"/>
      <x:c r="C21" s="170"/>
      <x:c r="D21" s="244"/>
      <x:c r="E21" s="244"/>
      <x:c r="F21" s="244"/>
      <x:c r="G21" s="244"/>
    </x:row>
    <x:row r="22">
      <x:c r="A22" s="170"/>
      <x:c r="B22" s="170"/>
      <x:c r="C22" s="170"/>
      <x:c r="D22" s="244"/>
      <x:c r="E22" s="244"/>
      <x:c r="F22" s="244"/>
      <x:c r="G22" s="244"/>
    </x:row>
    <x:row r="23">
      <x:c r="A23" s="239"/>
      <x:c r="B23" s="239"/>
      <x:c r="C23" s="239"/>
      <x:c r="D23" s="244"/>
      <x:c r="E23" s="244"/>
      <x:c r="F23" s="244"/>
      <x:c r="G23" s="244"/>
    </x:row>
  </x:sheetData>
  <x:mergeCells>
    <x:mergeCell ref="A1:G1"/>
    <x:mergeCell ref="A19:G19"/>
    <x:mergeCell ref="A20:C22"/>
    <x:mergeCell ref="D20:G23"/>
  </x:mergeCells>
  <x:conditionalFormatting sqref="F4:F16">
    <x:cfRule type="containsText" dxfId="9" priority="1" operator="containsText" text="OK"/>
    <x:cfRule type="containsText" dxfId="10" priority="2" operator="containsText" text="FAIL"/>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8" hidden="0" customWidth="1"/>
    <x:col min="2" max="2" width="30" hidden="0" customWidth="1"/>
    <x:col min="3" max="3" width="36" hidden="0" customWidth="1"/>
    <x:col min="4" max="4" width="18" hidden="0" customWidth="1"/>
    <x:col min="5" max="5" width="18" hidden="0" customWidth="1"/>
    <x:col min="6" max="6" width="22" hidden="0" customWidth="1"/>
    <x:col min="7" max="7" width="34" hidden="0" customWidth="1"/>
    <x:col min="8" max="8" width="66" hidden="0" customWidth="1"/>
    <x:col min="9" max="9" width="39" hidden="0" customWidth="1"/>
    <x:col min="10" max="10" width="45" hidden="0" customWidth="1"/>
  </x:cols>
  <x:sheetData>
    <x:row r="1" ht="21.600000381469727" hidden="0" customHeight="1">
      <x:c r="A1" s="328" t="str">
        <x:v>Sources and Audit Trail</x:v>
      </x:c>
      <x:c r="B1" s="4" t="str">
        <x:v>Sources and Audit Trail</x:v>
      </x:c>
      <x:c r="C1" s="4" t="str">
        <x:v>Sources and Audit Trail</x:v>
      </x:c>
      <x:c r="D1" s="4" t="str">
        <x:v>Sources and Audit Trail</x:v>
      </x:c>
      <x:c r="E1" s="4" t="str">
        <x:v>Sources and Audit Trail</x:v>
      </x:c>
      <x:c r="F1" s="4" t="str">
        <x:v>Sources and Audit Trail</x:v>
      </x:c>
      <x:c r="G1" s="4" t="str">
        <x:v>Sources and Audit Trail</x:v>
      </x:c>
      <x:c r="H1" s="4" t="str">
        <x:v>Sources and Audit Trail</x:v>
      </x:c>
      <x:c r="I1" s="4" t="str">
        <x:v>Sources and Audit Trail</x:v>
      </x:c>
      <x:c r="J1" s="4" t="str">
        <x:v>Sources and Audit Trail</x:v>
      </x:c>
    </x:row>
    <x:row r="2">
      <x:c r="A2" s="239"/>
      <x:c r="B2" s="239"/>
      <x:c r="C2" s="239"/>
      <x:c r="D2" s="239"/>
      <x:c r="E2" s="239"/>
      <x:c r="F2" s="239"/>
      <x:c r="G2" s="239"/>
      <x:c r="H2" s="239"/>
      <x:c r="I2" s="239"/>
      <x:c r="J2" s="239"/>
    </x:row>
    <x:row r="3" ht="15" hidden="0" customHeight="1">
      <x:c r="A3" s="335" t="str">
        <x:v>ID</x:v>
      </x:c>
      <x:c r="B3" s="337" t="str">
        <x:v>Item</x:v>
      </x:c>
      <x:c r="C3" s="337" t="str">
        <x:v>Value / use</x:v>
      </x:c>
      <x:c r="D3" s="337" t="str">
        <x:v>Units</x:v>
      </x:c>
      <x:c r="E3" s="337" t="str">
        <x:v>As of</x:v>
      </x:c>
      <x:c r="F3" s="337" t="str">
        <x:v>Source type</x:v>
      </x:c>
      <x:c r="G3" s="337" t="str">
        <x:v>Source</x:v>
      </x:c>
      <x:c r="H3" s="337" t="str">
        <x:v>Link / path</x:v>
      </x:c>
      <x:c r="I3" s="337" t="str">
        <x:v>Model treatment</x:v>
      </x:c>
      <x:c r="J3" s="339" t="str">
        <x:v>Caveat</x:v>
      </x:c>
    </x:row>
    <x:row r="4" ht="70" hidden="0" customHeight="1">
      <x:c r="A4" s="245" t="str">
        <x:v>U1</x:v>
      </x:c>
      <x:c r="B4" s="245" t="str">
        <x:v>Consultant hourly cost</x:v>
      </x:c>
      <x:c r="C4" s="245" t="str">
        <x:v>$80–$100</x:v>
      </x:c>
      <x:c r="D4" s="245" t="str">
        <x:v>AUD/hour</x:v>
      </x:c>
      <x:c r="E4" s="245" t="str">
        <x:v>2026-09-03</x:v>
      </x:c>
      <x:c r="F4" s="245" t="str">
        <x:v>Owner input</x:v>
      </x:c>
      <x:c r="G4" s="245" t="str">
        <x:v>User brief</x:v>
      </x:c>
      <x:c r="H4" s="245" t="str">
        <x:v>Current task brief</x:v>
      </x:c>
      <x:c r="I4" s="245" t="str">
        <x:v>Low/base/high rate cases</x:v>
      </x:c>
      <x:c r="J4" s="245" t="str">
        <x:v>Assumed AUD and direct cost; confirm GST and contractor status</x:v>
      </x:c>
    </x:row>
    <x:row r="5" ht="70" hidden="0" customHeight="1">
      <x:c r="A5" s="245" t="str">
        <x:v>U2</x:v>
      </x:c>
      <x:c r="B5" s="245" t="str">
        <x:v>Offshore developer hourly fee</x:v>
      </x:c>
      <x:c r="C5" s="245" t="str">
        <x:v>$30–$35</x:v>
      </x:c>
      <x:c r="D5" s="245" t="str">
        <x:v>AUD/hour</x:v>
      </x:c>
      <x:c r="E5" s="245" t="str">
        <x:v>2026-09-03</x:v>
      </x:c>
      <x:c r="F5" s="245" t="str">
        <x:v>Owner input</x:v>
      </x:c>
      <x:c r="G5" s="245" t="str">
        <x:v>User brief</x:v>
      </x:c>
      <x:c r="H5" s="245" t="str">
        <x:v>Current task brief</x:v>
      </x:c>
      <x:c r="I5" s="245" t="str">
        <x:v>Low/base/high rate cases plus 25% execution uplift</x:v>
      </x:c>
      <x:c r="J5" s="245" t="str">
        <x:v>Country, currency, tax and vendor terms not supplied</x:v>
      </x:c>
    </x:row>
    <x:row r="6" ht="70" hidden="0" customHeight="1">
      <x:c r="A6" s="245" t="str">
        <x:v>L1</x:v>
      </x:c>
      <x:c r="B6" s="245" t="str">
        <x:v>Offer architecture</x:v>
      </x:c>
      <x:c r="C6" s="245" t="str">
        <x:v>Diagnostics, Workflow Transformation, AI Guardrails</x:v>
      </x:c>
      <x:c r="D6" s="245" t="str">
        <x:v>strategy</x:v>
      </x:c>
      <x:c r="E6" s="245" t="str">
        <x:v>2026-09-01</x:v>
      </x:c>
      <x:c r="F6" s="245" t="str">
        <x:v>Local approved direction</x:v>
      </x:c>
      <x:c r="G6" s="245" t="str">
        <x:v>Offer decision document</x:v>
      </x:c>
      <x:c r="H6" s="245" t="str">
        <x:v>02-market-and-offers/offers/offer-strategy-2026-09/01-offer-decision-document.md</x:v>
      </x:c>
      <x:c r="I6" s="245" t="str">
        <x:v>Controls product names and internal-only pricing treatment</x:v>
      </x:c>
      <x:c r="J6" s="245" t="str">
        <x:v>Prices remain unapproved</x:v>
      </x:c>
    </x:row>
    <x:row r="7" ht="70" hidden="0" customHeight="1">
      <x:c r="A7" s="245" t="str">
        <x:v>L2</x:v>
      </x:c>
      <x:c r="B7" s="245" t="str">
        <x:v>Pricing policy</x:v>
      </x:c>
      <x:c r="C7" s="245" t="str">
        <x:v>Fixed scope; margin floor; pass-through costs separate</x:v>
      </x:c>
      <x:c r="D7" s="245" t="str">
        <x:v>policy</x:v>
      </x:c>
      <x:c r="E7" s="245" t="str">
        <x:v>current</x:v>
      </x:c>
      <x:c r="F7" s="245" t="str">
        <x:v>Local working policy</x:v>
      </x:c>
      <x:c r="G7" s="245" t="str">
        <x:v>Pricing policy</x:v>
      </x:c>
      <x:c r="H7" s="245" t="str">
        <x:v>02-market-and-offers/pricing/PRICING-POLICY.md</x:v>
      </x:c>
      <x:c r="I7" s="245" t="str">
        <x:v>Controls pricing guardrails</x:v>
      </x:c>
      <x:c r="J7" s="245" t="str">
        <x:v>Owner approval required</x:v>
      </x:c>
    </x:row>
    <x:row r="8" ht="70" hidden="0" customHeight="1">
      <x:c r="A8" s="245" t="str">
        <x:v>L3</x:v>
      </x:c>
      <x:c r="B8" s="245" t="str">
        <x:v>Prior internal planning prices</x:v>
      </x:c>
      <x:c r="C8" s="245" t="str">
        <x:v>$3.2k / $16k / $19.5k / $9.5k / $33k / $1.8k</x:v>
      </x:c>
      <x:c r="D8" s="245" t="str">
        <x:v>AUD ex GST</x:v>
      </x:c>
      <x:c r="E8" s="245" t="str">
        <x:v>2026-09-02</x:v>
      </x:c>
      <x:c r="F8" s="245" t="str">
        <x:v>Local prior model</x:v>
      </x:c>
      <x:c r="G8" s="245" t="str">
        <x:v>Pricing and margin plan</x:v>
      </x:c>
      <x:c r="H8" s="245" t="str">
        <x:v>07-finance/pricing-and-margins/analysis-output/Heutrix-Pricing-and-Margin-Plan.json</x:v>
      </x:c>
      <x:c r="I8" s="245" t="str">
        <x:v>Retained where the new high-rate target still clears</x:v>
      </x:c>
      <x:c r="J8" s="245" t="str">
        <x:v>Diagnostics and Guardrails increased; every price remains unapproved</x:v>
      </x:c>
    </x:row>
    <x:row r="9" ht="70" hidden="0" customHeight="1">
      <x:c r="A9" s="245" t="str">
        <x:v>S1</x:v>
      </x:c>
      <x:c r="B9" s="245" t="str">
        <x:v>GST registration threshold and rate</x:v>
      </x:c>
      <x:c r="C9" s="245" t="str">
        <x:v>$75,000 threshold; 10% GST</x:v>
      </x:c>
      <x:c r="D9" s="245" t="str">
        <x:v>AUD / %</x:v>
      </x:c>
      <x:c r="E9" s="245" t="str">
        <x:v>accessed 2026-09-03</x:v>
      </x:c>
      <x:c r="F9" s="245" t="str">
        <x:v>Official</x:v>
      </x:c>
      <x:c r="G9" s="245" t="str">
        <x:v>Australian Taxation Office</x:v>
      </x:c>
      <x:c r="H9" s="245" t="str">
        <x:v>https://www.ato.gov.au/businesses-and-organisations/gst-excise-and-indirect-taxes/gst/registering-for-gst</x:v>
      </x:c>
      <x:c r="I9" s="245" t="str">
        <x:v>Cash-planning assumption</x:v>
      </x:c>
      <x:c r="J9" s="245" t="str">
        <x:v>Confirm entity and creditable purchases</x:v>
      </x:c>
    </x:row>
    <x:row r="10" ht="70" hidden="0" customHeight="1">
      <x:c r="A10" s="245" t="str">
        <x:v>S2</x:v>
      </x:c>
      <x:c r="B10" s="245" t="str">
        <x:v>Company tax rates</x:v>
      </x:c>
      <x:c r="C10" s="245" t="str">
        <x:v>25% base-rate / 30% other company</x:v>
      </x:c>
      <x:c r="D10" s="245" t="str">
        <x:v>%</x:v>
      </x:c>
      <x:c r="E10" s="245" t="str">
        <x:v>accessed 2026-09-03</x:v>
      </x:c>
      <x:c r="F10" s="245" t="str">
        <x:v>Official</x:v>
      </x:c>
      <x:c r="G10" s="245" t="str">
        <x:v>Australian Taxation Office</x:v>
      </x:c>
      <x:c r="H10" s="245" t="str">
        <x:v>https://www.ato.gov.au/tax-rates-and-codes/company-tax-rate-changes</x:v>
      </x:c>
      <x:c r="I10" s="245" t="str">
        <x:v>Tax sensitivity only</x:v>
      </x:c>
      <x:c r="J10" s="245" t="str">
        <x:v>Eligibility requires accountant confirmation</x:v>
      </x:c>
    </x:row>
    <x:row r="11" ht="70" hidden="0" customHeight="1">
      <x:c r="A11" s="245" t="str">
        <x:v>S3</x:v>
      </x:c>
      <x:c r="B11" s="245" t="str">
        <x:v>Superannuation guarantee</x:v>
      </x:c>
      <x:c r="C11" s="245" t="str">
        <x:v>12%</x:v>
      </x:c>
      <x:c r="D11" s="245" t="str">
        <x:v>%</x:v>
      </x:c>
      <x:c r="E11" s="245" t="str">
        <x:v>2026–27</x:v>
      </x:c>
      <x:c r="F11" s="245" t="str">
        <x:v>Official</x:v>
      </x:c>
      <x:c r="G11" s="245" t="str">
        <x:v>Australian Taxation Office</x:v>
      </x:c>
      <x:c r="H11" s="245" t="str">
        <x:v>https://www.ato.gov.au/tax-rates-and-codes/key-superannuation-rates-and-thresholds/super-guarantee</x:v>
      </x:c>
      <x:c r="I11" s="245" t="str">
        <x:v>Included in future employee on-cost allowance</x:v>
      </x:c>
      <x:c r="J11" s="245" t="str">
        <x:v>Some contractors may also be eligible</x:v>
      </x:c>
    </x:row>
    <x:row r="12" ht="70" hidden="0" customHeight="1">
      <x:c r="A12" s="245" t="str">
        <x:v>S4</x:v>
      </x:c>
      <x:c r="B12" s="245" t="str">
        <x:v>Overseas contractor privacy</x:v>
      </x:c>
      <x:c r="C12" s="245" t="str">
        <x:v>APP 8 cross-border disclosure</x:v>
      </x:c>
      <x:c r="D12" s="245" t="str">
        <x:v>guidance</x:v>
      </x:c>
      <x:c r="E12" s="245" t="str">
        <x:v>updated 2025-10-03</x:v>
      </x:c>
      <x:c r="F12" s="245" t="str">
        <x:v>Official</x:v>
      </x:c>
      <x:c r="G12" s="245" t="str">
        <x:v>Office of the Australian Information Commissioner</x:v>
      </x:c>
      <x:c r="H12" s="245" t="str">
        <x:v>https://www.oaic.gov.au/privacy/australian-privacy-principles/australian-privacy-principles-guidelines/chapter-8-app-8-cross-border-disclosure-of-personal-information</x:v>
      </x:c>
      <x:c r="I12" s="245" t="str">
        <x:v>Offshore due-diligence and security allowance</x:v>
      </x:c>
      <x:c r="J12" s="245" t="str">
        <x:v>Legal applicability and client commitments require review</x:v>
      </x:c>
    </x:row>
    <x:row r="13" ht="70" hidden="0" customHeight="1">
      <x:c r="A13" s="245" t="str">
        <x:v>S5</x:v>
      </x:c>
      <x:c r="B13" s="245" t="str">
        <x:v>Independent contractor classification</x:v>
      </x:c>
      <x:c r="C13" s="245" t="str">
        <x:v>Whole relationship / sham contracting guidance</x:v>
      </x:c>
      <x:c r="D13" s="245" t="str">
        <x:v>guidance</x:v>
      </x:c>
      <x:c r="E13" s="245" t="str">
        <x:v>accessed 2026-09-03</x:v>
      </x:c>
      <x:c r="F13" s="245" t="str">
        <x:v>Official</x:v>
      </x:c>
      <x:c r="G13" s="245" t="str">
        <x:v>Fair Work Ombudsman</x:v>
      </x:c>
      <x:c r="H13" s="245" t="str">
        <x:v>https://www.fairwork.gov.au/find-help-for/independent-contractors/independent-contractors</x:v>
      </x:c>
      <x:c r="I13" s="245" t="str">
        <x:v>Contracting and legal-review allowance</x:v>
      </x:c>
      <x:c r="J13" s="245" t="str">
        <x:v>Classification is fact-specific</x:v>
      </x:c>
    </x:row>
    <x:row r="14" ht="70" hidden="0" customHeight="1">
      <x:c r="A14" s="245" t="str">
        <x:v>S6</x:v>
      </x:c>
      <x:c r="B14" s="245" t="str">
        <x:v>Business insurance categories</x:v>
      </x:c>
      <x:c r="C14" s="245" t="str">
        <x:v>PI, public liability and cyber</x:v>
      </x:c>
      <x:c r="D14" s="245" t="str">
        <x:v>guidance</x:v>
      </x:c>
      <x:c r="E14" s="245" t="str">
        <x:v>accessed 2026-09-03</x:v>
      </x:c>
      <x:c r="F14" s="245" t="str">
        <x:v>Official</x:v>
      </x:c>
      <x:c r="G14" s="245" t="str">
        <x:v>business.gov.au</x:v>
      </x:c>
      <x:c r="H14" s="245" t="str">
        <x:v>https://business.gov.au/risk-management/insurance/types-of-business-insurance</x:v>
      </x:c>
      <x:c r="I14" s="245" t="str">
        <x:v>Operating-budget placeholders</x:v>
      </x:c>
      <x:c r="J14" s="245" t="str">
        <x:v>Premiums and required limits need broker quotes</x:v>
      </x:c>
    </x:row>
    <x:row r="15" ht="70" hidden="0" customHeight="1">
      <x:c r="A15" s="245" t="str">
        <x:v>S7</x:v>
      </x:c>
      <x:c r="B15" s="245" t="str">
        <x:v>ASIC annual review</x:v>
      </x:c>
      <x:c r="C15" s="245" t="str">
        <x:v>Annual fee and solvency review</x:v>
      </x:c>
      <x:c r="D15" s="245" t="str">
        <x:v>guidance</x:v>
      </x:c>
      <x:c r="E15" s="245" t="str">
        <x:v>accessed 2026-09-03</x:v>
      </x:c>
      <x:c r="F15" s="245" t="str">
        <x:v>Official</x:v>
      </x:c>
      <x:c r="G15" s="245" t="str">
        <x:v>Australian Securities and Investments Commission</x:v>
      </x:c>
      <x:c r="H15" s="245" t="str">
        <x:v>https://www.asic.gov.au/for-business-and-companies/companies/company-annual-review/</x:v>
      </x:c>
      <x:c r="I15" s="245" t="str">
        <x:v>Annual compliance allowance</x:v>
      </x:c>
      <x:c r="J15" s="245" t="str">
        <x:v>Use current invoice; entity structure unresolved</x:v>
      </x:c>
    </x:row>
  </x:sheetData>
  <x:mergeCells>
    <x:mergeCell ref="A1:J1"/>
  </x:mergeCells>
  <x:pageMargins left="0.7" right="0.7" top="0.75" bottom="0.75" header="0.3" footer="0.3"/>
</x:worksheet>
</file>