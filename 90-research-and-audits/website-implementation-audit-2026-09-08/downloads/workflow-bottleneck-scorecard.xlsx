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36700931d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8a90b0dbada4c44"/>
    <x:sheet xmlns:r="http://schemas.openxmlformats.org/officeDocument/2006/relationships" name="Score My Workflows" sheetId="2" r:id="Reb98e2e3dd8143ec"/>
    <x:sheet xmlns:r="http://schemas.openxmlformats.org/officeDocument/2006/relationships" name="Dashboard" sheetId="3" r:id="R454a1f6ac3234fa2"/>
    <x:sheet xmlns:r="http://schemas.openxmlformats.org/officeDocument/2006/relationships" name="Rating Guide" sheetId="4" r:id="Rec18983cb82b4992"/>
    <x:sheet xmlns:r="http://schemas.openxmlformats.org/officeDocument/2006/relationships" name="Synthetic Example" sheetId="5" r:id="R844fe744bf15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0">
    <x:font>
      <x:sz val="11"/>
      <x:name val="Carlito"/>
    </x:font>
    <x:font>
      <x:b/>
      <x:sz val="20"/>
      <x:color rgb="FFFFFFFF"/>
      <x:name val="Aptos Display"/>
    </x:font>
    <x:font>
      <x:sz val="11"/>
      <x:color rgb="FF0B1C30"/>
      <x:name val="Aptos"/>
    </x:font>
    <x:font>
      <x:b/>
      <x:sz val="10"/>
      <x:color rgb="FFFFFFFF"/>
      <x:name val="Aptos"/>
    </x:font>
    <x:font>
      <x:sz val="10"/>
      <x:color rgb="FF0B1C30"/>
      <x:name val="Aptos"/>
    </x:font>
    <x:font>
      <x:b/>
      <x:sz val="12"/>
      <x:color rgb="FF091426"/>
      <x:name val="Aptos"/>
    </x:font>
    <x:font>
      <x:sz val="10"/>
      <x:color rgb="FF0B1C30"/>
      <x:name val="Carlito"/>
    </x:font>
    <x:font>
      <x:b/>
      <x:sz val="28"/>
      <x:color rgb="FF091426"/>
      <x:name val="Carlito"/>
    </x:font>
    <x:font>
      <x:b/>
      <x:sz val="16"/>
      <x:color rgb="FF0B1C30"/>
      <x:name val="Aptos"/>
    </x:font>
    <x:font>
      <x:b/>
      <x:sz val="20"/>
      <x:color rgb="FF0B1C3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FF4FF"/>
      </x:patternFill>
    </x:fill>
    <x:fill>
      <x:patternFill patternType="solid">
        <x:fgColor rgb="FFFFFFFF"/>
      </x:patternFill>
    </x:fill>
    <x:fill>
      <x:patternFill patternType="solid">
        <x:fgColor rgb="FF6FFBBE"/>
      </x:patternFill>
    </x:fill>
    <x:fill>
      <x:patternFill patternType="solid">
        <x:fgColor rgb="FFFFE4E6"/>
      </x:patternFill>
    </x:fill>
    <x:fill>
      <x:patternFill patternType="solid">
        <x:fgColor rgb="FFFFF4CE"/>
      </x:patternFill>
    </x:fill>
  </x:fills>
  <x:borders count="13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2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2" xfId="0" applyNumberFormat="1" applyFont="1" applyFill="1" applyBorder="1"/>
    <x:xf numFmtId="0" fontId="6" fillId="4" borderId="5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2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200" fontId="6" fillId="4" borderId="10" xfId="0" applyNumberFormat="1" applyFont="1" applyFill="1" applyBorder="1" applyAlignment="1">
      <x:alignment vertical="top" wrapText="1"/>
    </x:xf>
    <x:xf numFmtId="200" fontId="6" fillId="4" borderId="12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8" fillId="4" borderId="6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top" wrapText="1"/>
    </x:xf>
    <x:xf numFmtId="0" fontId="8" fillId="4" borderId="1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4" borderId="5" xfId="0" applyNumberFormat="1" applyFont="1" applyFill="1" applyBorder="1" applyAlignment="1">
      <x:alignment horizontal="center" vertical="top" wrapText="1"/>
    </x:xf>
    <x:xf numFmtId="0" fontId="8" fillId="4" borderId="6" xfId="0" applyNumberFormat="1" applyFont="1" applyFill="1" applyBorder="1" applyAlignment="1">
      <x:alignment horizontal="center" vertical="top" wrapText="1"/>
    </x:xf>
    <x:xf numFmtId="0" fontId="8" fillId="4" borderId="7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8" fillId="4" borderId="8" xfId="0" applyNumberFormat="1" applyFont="1" applyFill="1" applyBorder="1" applyAlignment="1">
      <x:alignment horizontal="center" vertical="top" wrapText="1"/>
    </x:xf>
    <x:xf numFmtId="0" fontId="8" fillId="4" borderId="9" xfId="0" applyNumberFormat="1" applyFont="1" applyFill="1" applyBorder="1" applyAlignment="1">
      <x:alignment horizontal="center" vertical="top" wrapText="1"/>
    </x:xf>
    <x:xf numFmtId="0" fontId="8" fillId="4" borderId="10" xfId="0" applyNumberFormat="1" applyFont="1" applyFill="1" applyBorder="1" applyAlignment="1">
      <x:alignment horizontal="center" vertical="top" wrapText="1"/>
    </x:xf>
    <x:xf numFmtId="0" fontId="8" fillId="4" borderId="11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5" xfId="0" applyNumberFormat="1" applyFont="1" applyFill="1" applyBorder="1" applyAlignment="1">
      <x:alignment horizontal="center"/>
    </x:xf>
    <x:xf numFmtId="0" fontId="9" fillId="4" borderId="6" xfId="0" applyNumberFormat="1" applyFont="1" applyFill="1" applyBorder="1" applyAlignment="1">
      <x:alignment horizontal="center"/>
    </x:xf>
    <x:xf numFmtId="0" fontId="9" fillId="4" borderId="9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9" fillId="4" borderId="4" xfId="0" applyNumberFormat="1" applyFont="1" applyFill="1" applyBorder="1" applyAlignment="1">
      <x:alignment horizontal="center" vertical="center"/>
    </x:xf>
    <x:xf numFmtId="0" fontId="9" fillId="4" borderId="5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9" fillId="4" borderId="9" xfId="0" applyNumberFormat="1" applyFont="1" applyFill="1" applyBorder="1" applyAlignment="1">
      <x:alignment horizontal="center" vertical="center"/>
    </x:xf>
    <x:xf numFmtId="0" fontId="9" fillId="4" borderId="10" xfId="0" applyNumberFormat="1" applyFont="1" applyFill="1" applyBorder="1" applyAlignment="1">
      <x:alignment horizontal="center" vertical="center"/>
    </x:xf>
    <x:xf numFmtId="0" fontId="9" fillId="4" borderId="11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201" fontId="4" fillId="4" borderId="5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1" fontId="4" fillId="4" borderId="10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1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91426"/>
      </x:font>
      <x:fill>
        <x:patternFill patternType="solid">
          <x:bgColor rgb="FF6FFBBE"/>
        </x:patternFill>
      </x:fill>
    </x:dxf>
    <x:dxf>
      <x:font>
        <x:b/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81b487a374750" /><Relationship Type="http://schemas.openxmlformats.org/officeDocument/2006/relationships/theme" Target="/xl/theme/theme1.xml" Id="R46dd612b70884bc0" /><Relationship Type="http://schemas.openxmlformats.org/officeDocument/2006/relationships/sharedStrings" Target="/xl/sharedStrings.xml" Id="Rcac9e3ffb816489e" /><Relationship Type="http://schemas.openxmlformats.org/officeDocument/2006/relationships/worksheet" Target="/xl/worksheets/sheet1.xml" Id="Rb8a90b0dbada4c44" /><Relationship Type="http://schemas.openxmlformats.org/officeDocument/2006/relationships/worksheet" Target="/xl/worksheets/sheet2.xml" Id="Reb98e2e3dd8143ec" /><Relationship Type="http://schemas.openxmlformats.org/officeDocument/2006/relationships/worksheet" Target="/xl/worksheets/sheet3.xml" Id="R454a1f6ac3234fa2" /><Relationship Type="http://schemas.openxmlformats.org/officeDocument/2006/relationships/worksheet" Target="/xl/worksheets/sheet4.xml" Id="Rec18983cb82b4992" /><Relationship Type="http://schemas.openxmlformats.org/officeDocument/2006/relationships/worksheet" Target="/xl/worksheets/sheet5.xml" Id="R844fe744bf1547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20-Minute Workflow Bottleneck Scorecard</x:v>
      </x:c>
      <x:c r="B1" s="3" t="str">
        <x:v>20-Minute Workflow Bottleneck Scorecard</x:v>
      </x:c>
      <x:c r="C1" s="3" t="str">
        <x:v>20-Minute Workflow Bottleneck Scorecard</x:v>
      </x:c>
      <x:c r="D1" s="3" t="str">
        <x:v>20-Minute Workflow Bottleneck Scorecard</x:v>
      </x:c>
      <x:c r="E1" s="3" t="str">
        <x:v>20-Minute Workflow Bottleneck Scorecard</x:v>
      </x:c>
      <x:c r="F1" s="3" t="str">
        <x:v>20-Minute Workflow Bottleneck Scorecard</x:v>
      </x:c>
      <x:c r="G1" s="3" t="str">
        <x:v>20-Minute Workflow Bottleneck Scorecard</x:v>
      </x:c>
      <x:c r="H1" s="3" t="str">
        <x:v>20-Minute Workflow Bottleneck Scorecard</x:v>
      </x:c>
    </x:row>
    <x:row r="2" ht="26" customHeight="1">
      <x:c r="A2" s="7" t="str">
        <x:v>A practical way to compare recurring operational workflows and choose one evidence-backed starting point. Designed for Australian disability support providers first and selected allied health practices second.</x:v>
      </x:c>
      <x:c r="B2" s="7" t="str">
        <x:v>A practical way to compare recurring operational workflows and choose one evidence-backed starting point. Designed for Australian disability support providers first and selected allied health practices second.</x:v>
      </x:c>
      <x:c r="C2" s="7" t="str">
        <x:v>A practical way to compare recurring operational workflows and choose one evidence-backed starting point. Designed for Australian disability support providers first and selected allied health practices second.</x:v>
      </x:c>
      <x:c r="D2" s="7" t="str">
        <x:v>A practical way to compare recurring operational workflows and choose one evidence-backed starting point. Designed for Australian disability support providers first and selected allied health practices second.</x:v>
      </x:c>
      <x:c r="E2" s="7" t="str">
        <x:v>A practical way to compare recurring operational workflows and choose one evidence-backed starting point. Designed for Australian disability support providers first and selected allied health practices second.</x:v>
      </x:c>
      <x:c r="F2" s="7" t="str">
        <x:v>A practical way to compare recurring operational workflows and choose one evidence-backed starting point. Designed for Australian disability support providers first and selected allied health practices second.</x:v>
      </x:c>
      <x:c r="G2" s="7" t="str">
        <x:v>A practical way to compare recurring operational workflows and choose one evidence-backed starting point. Designed for Australian disability support providers first and selected allied health practices second.</x:v>
      </x:c>
      <x:c r="H2" s="7" t="str">
        <x:v>A practical way to compare recurring operational workflows and choose one evidence-backed starting point. Designed for Australian disability support providers first and selected allied health practices second.</x:v>
      </x:c>
    </x:row>
    <x:row r="3" ht="26" customHeight="1">
      <x:c r="A3" s="7" t="str">
        <x:v>A practical way to compare recurring operational workflows and choose one evidence-backed starting point. Designed for Australian disability support providers first and selected allied health practices second.</x:v>
      </x:c>
      <x:c r="B3" s="7" t="str">
        <x:v>A practical way to compare recurring operational workflows and choose one evidence-backed starting point. Designed for Australian disability support providers first and selected allied health practices second.</x:v>
      </x:c>
      <x:c r="C3" s="7" t="str">
        <x:v>A practical way to compare recurring operational workflows and choose one evidence-backed starting point. Designed for Australian disability support providers first and selected allied health practices second.</x:v>
      </x:c>
      <x:c r="D3" s="7" t="str">
        <x:v>A practical way to compare recurring operational workflows and choose one evidence-backed starting point. Designed for Australian disability support providers first and selected allied health practices second.</x:v>
      </x:c>
      <x:c r="E3" s="7" t="str">
        <x:v>A practical way to compare recurring operational workflows and choose one evidence-backed starting point. Designed for Australian disability support providers first and selected allied health practices second.</x:v>
      </x:c>
      <x:c r="F3" s="7" t="str">
        <x:v>A practical way to compare recurring operational workflows and choose one evidence-backed starting point. Designed for Australian disability support providers first and selected allied health practices second.</x:v>
      </x:c>
      <x:c r="G3" s="7" t="str">
        <x:v>A practical way to compare recurring operational workflows and choose one evidence-backed starting point. Designed for Australian disability support providers first and selected allied health practices second.</x:v>
      </x:c>
      <x:c r="H3" s="7" t="str">
        <x:v>A practical way to compare recurring operational workflows and choose one evidence-backed starting point. Designed for Australian disability support providers first and selected allied health practices second.</x:v>
      </x:c>
    </x:row>
    <x:row r="5" ht="30" customHeight="1">
      <x:c r="A5" s="15" t="str">
        <x:v>How to use this workbook</x:v>
      </x:c>
      <x:c r="B5" s="16"/>
      <x:c r="C5" s="16"/>
      <x:c r="D5" s="16"/>
      <x:c r="E5" s="16"/>
      <x:c r="F5" s="16"/>
      <x:c r="G5" s="16"/>
      <x:c r="H5" s="17"/>
    </x:row>
    <x:row r="6">
      <x:c r="A6" s="55" t="str">
        <x:v>1</x:v>
      </x:c>
      <x:c r="B6" s="38" t="str">
        <x:v>List up to 12 recurring non-clinical workflows on the Score My Workflows sheet.</x:v>
      </x:c>
      <x:c r="C6" s="38" t="str"/>
      <x:c r="D6" s="38" t="str"/>
      <x:c r="E6" s="38" t="str"/>
      <x:c r="F6" s="38" t="str"/>
      <x:c r="G6" s="38" t="str"/>
      <x:c r="H6" s="39" t="str"/>
    </x:row>
    <x:row r="7">
      <x:c r="A7" s="56" t="str">
        <x:v>2</x:v>
      </x:c>
      <x:c r="B7" s="41" t="str">
        <x:v>Rate each factor from 1 to 5 using the Rating Guide. Use evidence, not frustration alone.</x:v>
      </x:c>
      <x:c r="C7" s="41" t="str"/>
      <x:c r="D7" s="41" t="str"/>
      <x:c r="E7" s="41" t="str"/>
      <x:c r="F7" s="41" t="str"/>
      <x:c r="G7" s="41" t="str"/>
      <x:c r="H7" s="42" t="str"/>
    </x:row>
    <x:row r="8">
      <x:c r="A8" s="56" t="str">
        <x:v>3</x:v>
      </x:c>
      <x:c r="B8" s="41" t="str">
        <x:v>Check the control flag before treating a high score as ready for change.</x:v>
      </x:c>
      <x:c r="C8" s="41" t="str"/>
      <x:c r="D8" s="41" t="str"/>
      <x:c r="E8" s="41" t="str"/>
      <x:c r="F8" s="41" t="str"/>
      <x:c r="G8" s="41" t="str"/>
      <x:c r="H8" s="42" t="str"/>
    </x:row>
    <x:row r="9">
      <x:c r="A9" s="57" t="str">
        <x:v>4</x:v>
      </x:c>
      <x:c r="B9" s="44" t="str">
        <x:v>Use the Dashboard to choose one workflow for a bounded review or more evidence gathering.</x:v>
      </x:c>
      <x:c r="C9" s="44" t="str"/>
      <x:c r="D9" s="44" t="str"/>
      <x:c r="E9" s="44" t="str"/>
      <x:c r="F9" s="44" t="str"/>
      <x:c r="G9" s="44" t="str"/>
      <x:c r="H9" s="45" t="str"/>
    </x:row>
    <x:row r="11" ht="30" customHeight="1">
      <x:c r="A11" s="15" t="str">
        <x:v>Information boundary</x:v>
      </x:c>
      <x:c r="B11" s="16"/>
      <x:c r="C11" s="16"/>
      <x:c r="D11" s="16"/>
      <x:c r="E11" s="16"/>
      <x:c r="F11" s="16"/>
      <x:c r="G11" s="16"/>
      <x:c r="H11" s="17"/>
    </x:row>
    <x:row r="12">
      <x:c r="A12" s="72" t="str">
        <x:v>Use only general, non-sensitive workflow descriptions. Do not enter participant, patient, worker, clinical, credential or other personal or sensitive information. This scorecard supports operational prioritisation; it is not legal, privacy, clinical, regulatory, audit or compliance advice.</x:v>
      </x:c>
      <x:c r="B12" s="73"/>
      <x:c r="C12" s="73"/>
      <x:c r="D12" s="73"/>
      <x:c r="E12" s="73"/>
      <x:c r="F12" s="73"/>
      <x:c r="G12" s="73"/>
      <x:c r="H12" s="74"/>
    </x:row>
    <x:row r="13">
      <x:c r="A13" s="75"/>
      <x:c r="B13" s="76"/>
      <x:c r="C13" s="76"/>
      <x:c r="D13" s="76"/>
      <x:c r="E13" s="76"/>
      <x:c r="F13" s="76"/>
      <x:c r="G13" s="76"/>
      <x:c r="H13" s="77"/>
    </x:row>
    <x:row r="15" ht="30" customHeight="1">
      <x:c r="A15" s="15" t="str">
        <x:v>Included companion files</x:v>
      </x:c>
      <x:c r="B15" s="16"/>
      <x:c r="C15" s="16"/>
      <x:c r="D15" s="16"/>
      <x:c r="E15" s="16"/>
      <x:c r="F15" s="16"/>
      <x:c r="G15" s="16"/>
      <x:c r="H15" s="17"/>
    </x:row>
    <x:row r="16">
      <x:c r="A16" s="37" t="str">
        <x:v>Workflow bottleneck scorecard workbook</x:v>
      </x:c>
      <x:c r="B16" s="38" t="str"/>
      <x:c r="C16" s="38" t="str"/>
      <x:c r="D16" s="38" t="str"/>
      <x:c r="E16" s="38" t="str"/>
      <x:c r="F16" s="38" t="str"/>
      <x:c r="G16" s="38" t="str"/>
      <x:c r="H16" s="39" t="str"/>
    </x:row>
    <x:row r="17">
      <x:c r="A17" s="43" t="str">
        <x:v>Companion quick guide (PDF)</x:v>
      </x:c>
      <x:c r="B17" s="44" t="str"/>
      <x:c r="C17" s="44" t="str"/>
      <x:c r="D17" s="44" t="str"/>
      <x:c r="E17" s="44" t="str"/>
      <x:c r="F17" s="44" t="str"/>
      <x:c r="G17" s="44" t="str"/>
      <x:c r="H17" s="45" t="str"/>
    </x:row>
  </x:sheetData>
  <x:mergeCells>
    <x:mergeCell ref="A1:H1"/>
    <x:mergeCell ref="A2:H3"/>
    <x:mergeCell ref="A5:H5"/>
    <x:mergeCell ref="B6:H6"/>
    <x:mergeCell ref="B7:H7"/>
    <x:mergeCell ref="B8:H8"/>
    <x:mergeCell ref="B9:H9"/>
    <x:mergeCell ref="A11:H11"/>
    <x:mergeCell ref="A12:H13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3" hidden="0" customWidth="1"/>
    <x:col min="12" max="12" width="19" hidden="0" customWidth="1"/>
    <x:col min="13" max="13" width="36" hidden="0" customWidth="1"/>
  </x:cols>
  <x:sheetData>
    <x:row r="1" ht="34" customHeight="1">
      <x:c r="A1" s="3" t="str">
        <x:v>Score my workflows</x:v>
      </x:c>
      <x:c r="B1" s="3" t="str">
        <x:v>Score my workflows</x:v>
      </x:c>
      <x:c r="C1" s="3" t="str">
        <x:v>Score my workflows</x:v>
      </x:c>
      <x:c r="D1" s="3" t="str">
        <x:v>Score my workflows</x:v>
      </x:c>
      <x:c r="E1" s="3" t="str">
        <x:v>Score my workflows</x:v>
      </x:c>
      <x:c r="F1" s="3" t="str">
        <x:v>Score my workflows</x:v>
      </x:c>
      <x:c r="G1" s="3" t="str">
        <x:v>Score my workflows</x:v>
      </x:c>
      <x:c r="H1" s="3" t="str">
        <x:v>Score my workflows</x:v>
      </x:c>
      <x:c r="I1" s="3" t="str">
        <x:v>Score my workflows</x:v>
      </x:c>
      <x:c r="J1" s="3" t="str">
        <x:v>Score my workflows</x:v>
      </x:c>
      <x:c r="K1" s="3" t="str">
        <x:v>Score my workflows</x:v>
      </x:c>
      <x:c r="L1" s="3" t="str">
        <x:v>Score my workflows</x:v>
      </x:c>
      <x:c r="M1" s="3" t="str">
        <x:v>Score my workflows</x:v>
      </x:c>
    </x:row>
    <x:row r="2" ht="26" customHeight="1">
      <x:c r="A2" s="7" t="str">
        <x:v>Yellow cells are inputs. Rate each factor from 1 (low) to 5 (high). The score supports ordering; it does not replace judgement, evidence or control review.</x:v>
      </x:c>
      <x:c r="B2" s="7" t="str">
        <x:v>Yellow cells are inputs. Rate each factor from 1 (low) to 5 (high). The score supports ordering; it does not replace judgement, evidence or control review.</x:v>
      </x:c>
      <x:c r="C2" s="7" t="str">
        <x:v>Yellow cells are inputs. Rate each factor from 1 (low) to 5 (high). The score supports ordering; it does not replace judgement, evidence or control review.</x:v>
      </x:c>
      <x:c r="D2" s="7" t="str">
        <x:v>Yellow cells are inputs. Rate each factor from 1 (low) to 5 (high). The score supports ordering; it does not replace judgement, evidence or control review.</x:v>
      </x:c>
      <x:c r="E2" s="7" t="str">
        <x:v>Yellow cells are inputs. Rate each factor from 1 (low) to 5 (high). The score supports ordering; it does not replace judgement, evidence or control review.</x:v>
      </x:c>
      <x:c r="F2" s="7" t="str">
        <x:v>Yellow cells are inputs. Rate each factor from 1 (low) to 5 (high). The score supports ordering; it does not replace judgement, evidence or control review.</x:v>
      </x:c>
      <x:c r="G2" s="7" t="str">
        <x:v>Yellow cells are inputs. Rate each factor from 1 (low) to 5 (high). The score supports ordering; it does not replace judgement, evidence or control review.</x:v>
      </x:c>
      <x:c r="H2" s="7" t="str">
        <x:v>Yellow cells are inputs. Rate each factor from 1 (low) to 5 (high). The score supports ordering; it does not replace judgement, evidence or control review.</x:v>
      </x:c>
      <x:c r="I2" s="7" t="str">
        <x:v>Yellow cells are inputs. Rate each factor from 1 (low) to 5 (high). The score supports ordering; it does not replace judgement, evidence or control review.</x:v>
      </x:c>
      <x:c r="J2" s="7" t="str">
        <x:v>Yellow cells are inputs. Rate each factor from 1 (low) to 5 (high). The score supports ordering; it does not replace judgement, evidence or control review.</x:v>
      </x:c>
      <x:c r="K2" s="7" t="str">
        <x:v>Yellow cells are inputs. Rate each factor from 1 (low) to 5 (high). The score supports ordering; it does not replace judgement, evidence or control review.</x:v>
      </x:c>
      <x:c r="L2" s="7" t="str">
        <x:v>Yellow cells are inputs. Rate each factor from 1 (low) to 5 (high). The score supports ordering; it does not replace judgement, evidence or control review.</x:v>
      </x:c>
      <x:c r="M2" s="7" t="str">
        <x:v>Yellow cells are inputs. Rate each factor from 1 (low) to 5 (high). The score supports ordering; it does not replace judgement, evidence or control review.</x:v>
      </x:c>
    </x:row>
    <x:row r="3" ht="26" customHeight="1">
      <x:c r="A3" s="7" t="str">
        <x:v>Yellow cells are inputs. Rate each factor from 1 (low) to 5 (high). The score supports ordering; it does not replace judgement, evidence or control review.</x:v>
      </x:c>
      <x:c r="B3" s="7" t="str">
        <x:v>Yellow cells are inputs. Rate each factor from 1 (low) to 5 (high). The score supports ordering; it does not replace judgement, evidence or control review.</x:v>
      </x:c>
      <x:c r="C3" s="7" t="str">
        <x:v>Yellow cells are inputs. Rate each factor from 1 (low) to 5 (high). The score supports ordering; it does not replace judgement, evidence or control review.</x:v>
      </x:c>
      <x:c r="D3" s="7" t="str">
        <x:v>Yellow cells are inputs. Rate each factor from 1 (low) to 5 (high). The score supports ordering; it does not replace judgement, evidence or control review.</x:v>
      </x:c>
      <x:c r="E3" s="7" t="str">
        <x:v>Yellow cells are inputs. Rate each factor from 1 (low) to 5 (high). The score supports ordering; it does not replace judgement, evidence or control review.</x:v>
      </x:c>
      <x:c r="F3" s="7" t="str">
        <x:v>Yellow cells are inputs. Rate each factor from 1 (low) to 5 (high). The score supports ordering; it does not replace judgement, evidence or control review.</x:v>
      </x:c>
      <x:c r="G3" s="7" t="str">
        <x:v>Yellow cells are inputs. Rate each factor from 1 (low) to 5 (high). The score supports ordering; it does not replace judgement, evidence or control review.</x:v>
      </x:c>
      <x:c r="H3" s="7" t="str">
        <x:v>Yellow cells are inputs. Rate each factor from 1 (low) to 5 (high). The score supports ordering; it does not replace judgement, evidence or control review.</x:v>
      </x:c>
      <x:c r="I3" s="7" t="str">
        <x:v>Yellow cells are inputs. Rate each factor from 1 (low) to 5 (high). The score supports ordering; it does not replace judgement, evidence or control review.</x:v>
      </x:c>
      <x:c r="J3" s="7" t="str">
        <x:v>Yellow cells are inputs. Rate each factor from 1 (low) to 5 (high). The score supports ordering; it does not replace judgement, evidence or control review.</x:v>
      </x:c>
      <x:c r="K3" s="7" t="str">
        <x:v>Yellow cells are inputs. Rate each factor from 1 (low) to 5 (high). The score supports ordering; it does not replace judgement, evidence or control review.</x:v>
      </x:c>
      <x:c r="L3" s="7" t="str">
        <x:v>Yellow cells are inputs. Rate each factor from 1 (low) to 5 (high). The score supports ordering; it does not replace judgement, evidence or control review.</x:v>
      </x:c>
      <x:c r="M3" s="7" t="str">
        <x:v>Yellow cells are inputs. Rate each factor from 1 (low) to 5 (high). The score supports ordering; it does not replace judgement, evidence or control review.</x:v>
      </x:c>
    </x:row>
    <x:row r="5" ht="30" customHeight="1">
      <x:c r="A5" s="15" t="str">
        <x:v>Workflow</x:v>
      </x:c>
      <x:c r="B5" s="16" t="str">
        <x:v>Frequency</x:v>
      </x:c>
      <x:c r="C5" s="16" t="str">
        <x:v>Staff effort</x:v>
      </x:c>
      <x:c r="D5" s="16" t="str">
        <x:v>Handoffs</x:v>
      </x:c>
      <x:c r="E5" s="16" t="str">
        <x:v>Delay impact</x:v>
      </x:c>
      <x:c r="F5" s="16" t="str">
        <x:v>Error / rework</x:v>
      </x:c>
      <x:c r="G5" s="16" t="str">
        <x:v>Visibility gap</x:v>
      </x:c>
      <x:c r="H5" s="16" t="str">
        <x:v>Change feasibility</x:v>
      </x:c>
      <x:c r="I5" s="16" t="str">
        <x:v>Evidence confidence</x:v>
      </x:c>
      <x:c r="J5" s="16" t="str">
        <x:v>Sensitive or high-stakes?</x:v>
      </x:c>
      <x:c r="K5" s="16" t="str">
        <x:v>Weighted score</x:v>
      </x:c>
      <x:c r="L5" s="16" t="str">
        <x:v>Control flag</x:v>
      </x:c>
      <x:c r="M5" s="17" t="str">
        <x:v>Suggested action</x:v>
      </x:c>
    </x:row>
    <x:row r="6">
      <x:c r="A6" s="84" t="str"/>
      <x:c r="B6" s="84" t="str"/>
      <x:c r="C6" s="84" t="str"/>
      <x:c r="D6" s="84" t="str"/>
      <x:c r="E6" s="84" t="str"/>
      <x:c r="F6" s="84" t="str"/>
      <x:c r="G6" s="84" t="str"/>
      <x:c r="H6" s="84" t="str"/>
      <x:c r="I6" s="84" t="str"/>
      <x:c r="J6" s="84" t="str"/>
      <x:c r="K6" s="96" t="str">
        <x:f>IF(A6="","",ROUND((B6*15+C6*15+D6*10+E6*15+F6*10+G6*15+H6*15+I6*5)/5,0))</x:f>
      </x:c>
      <x:c r="L6" s="93" t="str">
        <x:f>IF(A6="","",IF(J6="No","Standard review","Control review required"))</x:f>
      </x:c>
      <x:c r="M6" s="93" t="str">
        <x:f>IF(A6="","",IF(J6&lt;&gt;"No","Do not treat as ready - review information, authority and controls",IF(I6&lt;3,"Gather better evidence before prioritising",IF(K6&gt;=75,"Strong candidate for a bounded review",IF(K6&gt;=55,"Clarify boundary and feasibility","Keep watching or simplify first")))))</x:f>
      </x:c>
    </x:row>
    <x:row r="7">
      <x:c r="A7" s="85" t="str"/>
      <x:c r="B7" s="85" t="str"/>
      <x:c r="C7" s="85" t="str"/>
      <x:c r="D7" s="85" t="str"/>
      <x:c r="E7" s="85" t="str"/>
      <x:c r="F7" s="85" t="str"/>
      <x:c r="G7" s="85" t="str"/>
      <x:c r="H7" s="85" t="str"/>
      <x:c r="I7" s="85" t="str"/>
      <x:c r="J7" s="85" t="str"/>
      <x:c r="K7" s="97" t="str">
        <x:f>IF(A7="","",ROUND((B7*15+C7*15+D7*10+E7*15+F7*10+G7*15+H7*15+I7*5)/5,0))</x:f>
      </x:c>
      <x:c r="L7" s="94" t="str">
        <x:f>IF(A7="","",IF(J7="No","Standard review","Control review required"))</x:f>
      </x:c>
      <x:c r="M7" s="94" t="str">
        <x:f>IF(A7="","",IF(J7&lt;&gt;"No","Do not treat as ready - review information, authority and controls",IF(I7&lt;3,"Gather better evidence before prioritising",IF(K7&gt;=75,"Strong candidate for a bounded review",IF(K7&gt;=55,"Clarify boundary and feasibility","Keep watching or simplify first")))))</x:f>
      </x:c>
    </x:row>
    <x:row r="8">
      <x:c r="A8" s="85" t="str"/>
      <x:c r="B8" s="85" t="str"/>
      <x:c r="C8" s="85" t="str"/>
      <x:c r="D8" s="85" t="str"/>
      <x:c r="E8" s="85" t="str"/>
      <x:c r="F8" s="85" t="str"/>
      <x:c r="G8" s="85" t="str"/>
      <x:c r="H8" s="85" t="str"/>
      <x:c r="I8" s="85" t="str"/>
      <x:c r="J8" s="85" t="str"/>
      <x:c r="K8" s="97" t="str">
        <x:f>IF(A8="","",ROUND((B8*15+C8*15+D8*10+E8*15+F8*10+G8*15+H8*15+I8*5)/5,0))</x:f>
      </x:c>
      <x:c r="L8" s="94" t="str">
        <x:f>IF(A8="","",IF(J8="No","Standard review","Control review required"))</x:f>
      </x:c>
      <x:c r="M8" s="94" t="str">
        <x:f>IF(A8="","",IF(J8&lt;&gt;"No","Do not treat as ready - review information, authority and controls",IF(I8&lt;3,"Gather better evidence before prioritising",IF(K8&gt;=75,"Strong candidate for a bounded review",IF(K8&gt;=55,"Clarify boundary and feasibility","Keep watching or simplify first")))))</x:f>
      </x:c>
    </x:row>
    <x:row r="9">
      <x:c r="A9" s="85" t="str"/>
      <x:c r="B9" s="85" t="str"/>
      <x:c r="C9" s="85" t="str"/>
      <x:c r="D9" s="85" t="str"/>
      <x:c r="E9" s="85" t="str"/>
      <x:c r="F9" s="85" t="str"/>
      <x:c r="G9" s="85" t="str"/>
      <x:c r="H9" s="85" t="str"/>
      <x:c r="I9" s="85" t="str"/>
      <x:c r="J9" s="85" t="str"/>
      <x:c r="K9" s="97" t="str">
        <x:f>IF(A9="","",ROUND((B9*15+C9*15+D9*10+E9*15+F9*10+G9*15+H9*15+I9*5)/5,0))</x:f>
      </x:c>
      <x:c r="L9" s="94" t="str">
        <x:f>IF(A9="","",IF(J9="No","Standard review","Control review required"))</x:f>
      </x:c>
      <x:c r="M9" s="94" t="str">
        <x:f>IF(A9="","",IF(J9&lt;&gt;"No","Do not treat as ready - review information, authority and controls",IF(I9&lt;3,"Gather better evidence before prioritising",IF(K9&gt;=75,"Strong candidate for a bounded review",IF(K9&gt;=55,"Clarify boundary and feasibility","Keep watching or simplify first")))))</x:f>
      </x:c>
    </x:row>
    <x:row r="10">
      <x:c r="A10" s="85" t="str"/>
      <x:c r="B10" s="85" t="str"/>
      <x:c r="C10" s="85" t="str"/>
      <x:c r="D10" s="85" t="str"/>
      <x:c r="E10" s="85" t="str"/>
      <x:c r="F10" s="85" t="str"/>
      <x:c r="G10" s="85" t="str"/>
      <x:c r="H10" s="85" t="str"/>
      <x:c r="I10" s="85" t="str"/>
      <x:c r="J10" s="85" t="str"/>
      <x:c r="K10" s="97" t="str">
        <x:f>IF(A10="","",ROUND((B10*15+C10*15+D10*10+E10*15+F10*10+G10*15+H10*15+I10*5)/5,0))</x:f>
      </x:c>
      <x:c r="L10" s="94" t="str">
        <x:f>IF(A10="","",IF(J10="No","Standard review","Control review required"))</x:f>
      </x:c>
      <x:c r="M10" s="94" t="str">
        <x:f>IF(A10="","",IF(J10&lt;&gt;"No","Do not treat as ready - review information, authority and controls",IF(I10&lt;3,"Gather better evidence before prioritising",IF(K10&gt;=75,"Strong candidate for a bounded review",IF(K10&gt;=55,"Clarify boundary and feasibility","Keep watching or simplify first")))))</x:f>
      </x:c>
    </x:row>
    <x:row r="11">
      <x:c r="A11" s="85" t="str"/>
      <x:c r="B11" s="85" t="str"/>
      <x:c r="C11" s="85" t="str"/>
      <x:c r="D11" s="85" t="str"/>
      <x:c r="E11" s="85" t="str"/>
      <x:c r="F11" s="85" t="str"/>
      <x:c r="G11" s="85" t="str"/>
      <x:c r="H11" s="85" t="str"/>
      <x:c r="I11" s="85" t="str"/>
      <x:c r="J11" s="85" t="str"/>
      <x:c r="K11" s="97" t="str">
        <x:f>IF(A11="","",ROUND((B11*15+C11*15+D11*10+E11*15+F11*10+G11*15+H11*15+I11*5)/5,0))</x:f>
      </x:c>
      <x:c r="L11" s="94" t="str">
        <x:f>IF(A11="","",IF(J11="No","Standard review","Control review required"))</x:f>
      </x:c>
      <x:c r="M11" s="94" t="str">
        <x:f>IF(A11="","",IF(J11&lt;&gt;"No","Do not treat as ready - review information, authority and controls",IF(I11&lt;3,"Gather better evidence before prioritising",IF(K11&gt;=75,"Strong candidate for a bounded review",IF(K11&gt;=55,"Clarify boundary and feasibility","Keep watching or simplify first")))))</x:f>
      </x:c>
    </x:row>
    <x:row r="12">
      <x:c r="A12" s="85" t="str"/>
      <x:c r="B12" s="85" t="str"/>
      <x:c r="C12" s="85" t="str"/>
      <x:c r="D12" s="85" t="str"/>
      <x:c r="E12" s="85" t="str"/>
      <x:c r="F12" s="85" t="str"/>
      <x:c r="G12" s="85" t="str"/>
      <x:c r="H12" s="85" t="str"/>
      <x:c r="I12" s="85" t="str"/>
      <x:c r="J12" s="85" t="str"/>
      <x:c r="K12" s="97" t="str">
        <x:f>IF(A12="","",ROUND((B12*15+C12*15+D12*10+E12*15+F12*10+G12*15+H12*15+I12*5)/5,0))</x:f>
      </x:c>
      <x:c r="L12" s="94" t="str">
        <x:f>IF(A12="","",IF(J12="No","Standard review","Control review required"))</x:f>
      </x:c>
      <x:c r="M12" s="94" t="str">
        <x:f>IF(A12="","",IF(J12&lt;&gt;"No","Do not treat as ready - review information, authority and controls",IF(I12&lt;3,"Gather better evidence before prioritising",IF(K12&gt;=75,"Strong candidate for a bounded review",IF(K12&gt;=55,"Clarify boundary and feasibility","Keep watching or simplify first")))))</x:f>
      </x:c>
    </x:row>
    <x:row r="13">
      <x:c r="A13" s="85" t="str"/>
      <x:c r="B13" s="85" t="str"/>
      <x:c r="C13" s="85" t="str"/>
      <x:c r="D13" s="85" t="str"/>
      <x:c r="E13" s="85" t="str"/>
      <x:c r="F13" s="85" t="str"/>
      <x:c r="G13" s="85" t="str"/>
      <x:c r="H13" s="85" t="str"/>
      <x:c r="I13" s="85" t="str"/>
      <x:c r="J13" s="85" t="str"/>
      <x:c r="K13" s="97" t="str">
        <x:f>IF(A13="","",ROUND((B13*15+C13*15+D13*10+E13*15+F13*10+G13*15+H13*15+I13*5)/5,0))</x:f>
      </x:c>
      <x:c r="L13" s="94" t="str">
        <x:f>IF(A13="","",IF(J13="No","Standard review","Control review required"))</x:f>
      </x:c>
      <x:c r="M13" s="94" t="str">
        <x:f>IF(A13="","",IF(J13&lt;&gt;"No","Do not treat as ready - review information, authority and controls",IF(I13&lt;3,"Gather better evidence before prioritising",IF(K13&gt;=75,"Strong candidate for a bounded review",IF(K13&gt;=55,"Clarify boundary and feasibility","Keep watching or simplify first")))))</x:f>
      </x:c>
    </x:row>
    <x:row r="14">
      <x:c r="A14" s="85" t="str"/>
      <x:c r="B14" s="85" t="str"/>
      <x:c r="C14" s="85" t="str"/>
      <x:c r="D14" s="85" t="str"/>
      <x:c r="E14" s="85" t="str"/>
      <x:c r="F14" s="85" t="str"/>
      <x:c r="G14" s="85" t="str"/>
      <x:c r="H14" s="85" t="str"/>
      <x:c r="I14" s="85" t="str"/>
      <x:c r="J14" s="85" t="str"/>
      <x:c r="K14" s="97" t="str">
        <x:f>IF(A14="","",ROUND((B14*15+C14*15+D14*10+E14*15+F14*10+G14*15+H14*15+I14*5)/5,0))</x:f>
      </x:c>
      <x:c r="L14" s="94" t="str">
        <x:f>IF(A14="","",IF(J14="No","Standard review","Control review required"))</x:f>
      </x:c>
      <x:c r="M14" s="94" t="str">
        <x:f>IF(A14="","",IF(J14&lt;&gt;"No","Do not treat as ready - review information, authority and controls",IF(I14&lt;3,"Gather better evidence before prioritising",IF(K14&gt;=75,"Strong candidate for a bounded review",IF(K14&gt;=55,"Clarify boundary and feasibility","Keep watching or simplify first")))))</x:f>
      </x:c>
    </x:row>
    <x:row r="15">
      <x:c r="A15" s="85" t="str"/>
      <x:c r="B15" s="85" t="str"/>
      <x:c r="C15" s="85" t="str"/>
      <x:c r="D15" s="85" t="str"/>
      <x:c r="E15" s="85" t="str"/>
      <x:c r="F15" s="85" t="str"/>
      <x:c r="G15" s="85" t="str"/>
      <x:c r="H15" s="85" t="str"/>
      <x:c r="I15" s="85" t="str"/>
      <x:c r="J15" s="85" t="str"/>
      <x:c r="K15" s="97" t="str">
        <x:f>IF(A15="","",ROUND((B15*15+C15*15+D15*10+E15*15+F15*10+G15*15+H15*15+I15*5)/5,0))</x:f>
      </x:c>
      <x:c r="L15" s="94" t="str">
        <x:f>IF(A15="","",IF(J15="No","Standard review","Control review required"))</x:f>
      </x:c>
      <x:c r="M15" s="94" t="str">
        <x:f>IF(A15="","",IF(J15&lt;&gt;"No","Do not treat as ready - review information, authority and controls",IF(I15&lt;3,"Gather better evidence before prioritising",IF(K15&gt;=75,"Strong candidate for a bounded review",IF(K15&gt;=55,"Clarify boundary and feasibility","Keep watching or simplify first")))))</x:f>
      </x:c>
    </x:row>
    <x:row r="16">
      <x:c r="A16" s="85" t="str"/>
      <x:c r="B16" s="85" t="str"/>
      <x:c r="C16" s="85" t="str"/>
      <x:c r="D16" s="85" t="str"/>
      <x:c r="E16" s="85" t="str"/>
      <x:c r="F16" s="85" t="str"/>
      <x:c r="G16" s="85" t="str"/>
      <x:c r="H16" s="85" t="str"/>
      <x:c r="I16" s="85" t="str"/>
      <x:c r="J16" s="85" t="str"/>
      <x:c r="K16" s="97" t="str">
        <x:f>IF(A16="","",ROUND((B16*15+C16*15+D16*10+E16*15+F16*10+G16*15+H16*15+I16*5)/5,0))</x:f>
      </x:c>
      <x:c r="L16" s="94" t="str">
        <x:f>IF(A16="","",IF(J16="No","Standard review","Control review required"))</x:f>
      </x:c>
      <x:c r="M16" s="94" t="str">
        <x:f>IF(A16="","",IF(J16&lt;&gt;"No","Do not treat as ready - review information, authority and controls",IF(I16&lt;3,"Gather better evidence before prioritising",IF(K16&gt;=75,"Strong candidate for a bounded review",IF(K16&gt;=55,"Clarify boundary and feasibility","Keep watching or simplify first")))))</x:f>
      </x:c>
    </x:row>
    <x:row r="17">
      <x:c r="A17" s="85" t="str"/>
      <x:c r="B17" s="85" t="str"/>
      <x:c r="C17" s="85" t="str"/>
      <x:c r="D17" s="85" t="str"/>
      <x:c r="E17" s="85" t="str"/>
      <x:c r="F17" s="85" t="str"/>
      <x:c r="G17" s="85" t="str"/>
      <x:c r="H17" s="85" t="str"/>
      <x:c r="I17" s="85" t="str"/>
      <x:c r="J17" s="85" t="str"/>
      <x:c r="K17" s="98" t="str">
        <x:f>IF(A17="","",ROUND((B17*15+C17*15+D17*10+E17*15+F17*10+G17*15+H17*15+I17*5)/5,0))</x:f>
      </x:c>
      <x:c r="L17" s="95" t="str">
        <x:f>IF(A17="","",IF(J17="No","Standard review","Control review required"))</x:f>
      </x:c>
      <x:c r="M17" s="95" t="str">
        <x:f>IF(A17="","",IF(J17&lt;&gt;"No","Do not treat as ready - review information, authority and controls",IF(I17&lt;3,"Gather better evidence before prioritising",IF(K17&gt;=75,"Strong candidate for a bounded review",IF(K17&gt;=55,"Clarify boundary and feasibility","Keep watching or simplify first")))))</x:f>
      </x:c>
    </x:row>
    <x:row r="19">
      <x:c r="A19" s="112" t="str">
        <x:v>Scoring method: frequency 15%, staff effort 15%, handoffs 10%, delay impact 15%, error/rework 10%, visibility gap 15%, change feasibility 15%, evidence confidence 5%. A high score with a control flag is not implementation-ready.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4"/>
    </x:row>
    <x:row r="20">
      <x:c r="A20" s="115"/>
      <x:c r="B20" s="116"/>
      <x:c r="C20" s="116"/>
      <x:c r="D20" s="116"/>
      <x:c r="E20" s="116"/>
      <x:c r="F20" s="116"/>
      <x:c r="G20" s="116"/>
      <x:c r="H20" s="116"/>
      <x:c r="I20" s="116"/>
      <x:c r="J20" s="116"/>
      <x:c r="K20" s="116"/>
      <x:c r="L20" s="116"/>
      <x:c r="M20" s="117"/>
    </x:row>
  </x:sheetData>
  <x:mergeCells>
    <x:mergeCell ref="A1:M1"/>
    <x:mergeCell ref="A2:M3"/>
    <x:mergeCell ref="A19:M20"/>
  </x:mergeCells>
  <x:conditionalFormatting sqref="K6:K17">
    <x:cfRule type="cellIs" dxfId="0" priority="1" operator="greaterThanOrEqual">
      <x:formula>75</x:formula>
    </x:cfRule>
  </x:conditionalFormatting>
  <x:conditionalFormatting sqref="L6:L17">
    <x:cfRule type="containsText" dxfId="1" priority="2" operator="containsText" text="Control review required"/>
  </x:conditionalFormatting>
  <x:dataValidations count="9">
    <x:dataValidation type="list" sqref="B6:B17">
      <x:formula1>"1,2,3,4,5"</x:formula1>
    </x:dataValidation>
    <x:dataValidation type="list" sqref="C6:C17">
      <x:formula1>"1,2,3,4,5"</x:formula1>
    </x:dataValidation>
    <x:dataValidation type="list" sqref="D6:D17">
      <x:formula1>"1,2,3,4,5"</x:formula1>
    </x:dataValidation>
    <x:dataValidation type="list" sqref="E6:E17">
      <x:formula1>"1,2,3,4,5"</x:formula1>
    </x:dataValidation>
    <x:dataValidation type="list" sqref="F6:F17">
      <x:formula1>"1,2,3,4,5"</x:formula1>
    </x:dataValidation>
    <x:dataValidation type="list" sqref="G6:G17">
      <x:formula1>"1,2,3,4,5"</x:formula1>
    </x:dataValidation>
    <x:dataValidation type="list" sqref="H6:H17">
      <x:formula1>"1,2,3,4,5"</x:formula1>
    </x:dataValidation>
    <x:dataValidation type="list" sqref="I6:I17">
      <x:formula1>"1,2,3,4,5"</x:formula1>
    </x:dataValidation>
    <x:dataValidation type="list" sqref="J6:J17">
      <x:formula1>"No,Yes,Unsure"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Priority view</x:v>
      </x:c>
      <x:c r="B1" s="3" t="str">
        <x:v>Priority view</x:v>
      </x:c>
      <x:c r="C1" s="3" t="str">
        <x:v>Priority view</x:v>
      </x:c>
      <x:c r="D1" s="3" t="str">
        <x:v>Priority view</x:v>
      </x:c>
      <x:c r="E1" s="3" t="str">
        <x:v>Priority view</x:v>
      </x:c>
      <x:c r="F1" s="3" t="str">
        <x:v>Priority view</x:v>
      </x:c>
      <x:c r="G1" s="3" t="str">
        <x:v>Priority view</x:v>
      </x:c>
      <x:c r="H1" s="3" t="str">
        <x:v>Priority view</x:v>
      </x:c>
    </x:row>
    <x:row r="2" ht="26" customHeight="1">
      <x:c r="A2" s="7" t="str">
        <x:v>Use this page after completing the scorecard. The top score is a prompt for a bounded conversation, not an automatic recommendation to automate or buy a product.</x:v>
      </x:c>
      <x:c r="B2" s="7" t="str">
        <x:v>Use this page after completing the scorecard. The top score is a prompt for a bounded conversation, not an automatic recommendation to automate or buy a product.</x:v>
      </x:c>
      <x:c r="C2" s="7" t="str">
        <x:v>Use this page after completing the scorecard. The top score is a prompt for a bounded conversation, not an automatic recommendation to automate or buy a product.</x:v>
      </x:c>
      <x:c r="D2" s="7" t="str">
        <x:v>Use this page after completing the scorecard. The top score is a prompt for a bounded conversation, not an automatic recommendation to automate or buy a product.</x:v>
      </x:c>
      <x:c r="E2" s="7" t="str">
        <x:v>Use this page after completing the scorecard. The top score is a prompt for a bounded conversation, not an automatic recommendation to automate or buy a product.</x:v>
      </x:c>
      <x:c r="F2" s="7" t="str">
        <x:v>Use this page after completing the scorecard. The top score is a prompt for a bounded conversation, not an automatic recommendation to automate or buy a product.</x:v>
      </x:c>
      <x:c r="G2" s="7" t="str">
        <x:v>Use this page after completing the scorecard. The top score is a prompt for a bounded conversation, not an automatic recommendation to automate or buy a product.</x:v>
      </x:c>
      <x:c r="H2" s="7" t="str">
        <x:v>Use this page after completing the scorecard. The top score is a prompt for a bounded conversation, not an automatic recommendation to automate or buy a product.</x:v>
      </x:c>
    </x:row>
    <x:row r="3" ht="26" customHeight="1">
      <x:c r="A3" s="7" t="str">
        <x:v>Use this page after completing the scorecard. The top score is a prompt for a bounded conversation, not an automatic recommendation to automate or buy a product.</x:v>
      </x:c>
      <x:c r="B3" s="7" t="str">
        <x:v>Use this page after completing the scorecard. The top score is a prompt for a bounded conversation, not an automatic recommendation to automate or buy a product.</x:v>
      </x:c>
      <x:c r="C3" s="7" t="str">
        <x:v>Use this page after completing the scorecard. The top score is a prompt for a bounded conversation, not an automatic recommendation to automate or buy a product.</x:v>
      </x:c>
      <x:c r="D3" s="7" t="str">
        <x:v>Use this page after completing the scorecard. The top score is a prompt for a bounded conversation, not an automatic recommendation to automate or buy a product.</x:v>
      </x:c>
      <x:c r="E3" s="7" t="str">
        <x:v>Use this page after completing the scorecard. The top score is a prompt for a bounded conversation, not an automatic recommendation to automate or buy a product.</x:v>
      </x:c>
      <x:c r="F3" s="7" t="str">
        <x:v>Use this page after completing the scorecard. The top score is a prompt for a bounded conversation, not an automatic recommendation to automate or buy a product.</x:v>
      </x:c>
      <x:c r="G3" s="7" t="str">
        <x:v>Use this page after completing the scorecard. The top score is a prompt for a bounded conversation, not an automatic recommendation to automate or buy a product.</x:v>
      </x:c>
      <x:c r="H3" s="7" t="str">
        <x:v>Use this page after completing the scorecard. The top score is a prompt for a bounded conversation, not an automatic recommendation to automate or buy a product.</x:v>
      </x:c>
    </x:row>
    <x:row r="5" ht="30" customHeight="1">
      <x:c r="A5" s="15" t="str">
        <x:v>Highest score</x:v>
      </x:c>
      <x:c r="B5" s="16"/>
      <x:c r="C5" s="16"/>
      <x:c r="D5" s="17"/>
      <x:c r="E5" s="15" t="str">
        <x:v>Top workflow</x:v>
      </x:c>
      <x:c r="F5" s="16"/>
      <x:c r="G5" s="16"/>
      <x:c r="H5" s="17"/>
    </x:row>
    <x:row r="6">
      <x:c r="A6" s="121" t="n">
        <x:f>IFERROR(MAX('Score My Workflows'!K6:K17),0)</x:f>
        <x:v>0</x:v>
      </x:c>
      <x:c r="B6" s="121"/>
      <x:c r="C6" s="121"/>
      <x:c r="D6" s="121"/>
      <x:c r="E6" s="140" t="str">
        <x:f>IF(A6=0,"Add at least one workflow",INDEX('Score My Workflows'!A6:A17,MATCH(A6,'Score My Workflows'!K6:K17,0)))</x:f>
        <x:v>Add at least one workflow</x:v>
      </x:c>
      <x:c r="F6" s="141"/>
      <x:c r="G6" s="141"/>
      <x:c r="H6" s="142"/>
    </x:row>
    <x:row r="7">
      <x:c r="A7" s="121"/>
      <x:c r="B7" s="121"/>
      <x:c r="C7" s="121"/>
      <x:c r="D7" s="121"/>
      <x:c r="E7" s="143"/>
      <x:c r="F7" s="144"/>
      <x:c r="G7" s="144"/>
      <x:c r="H7" s="145"/>
    </x:row>
    <x:row r="8">
      <x:c r="A8" s="121"/>
      <x:c r="B8" s="121"/>
      <x:c r="C8" s="121"/>
      <x:c r="D8" s="121"/>
      <x:c r="E8" s="146"/>
      <x:c r="F8" s="147"/>
      <x:c r="G8" s="147"/>
      <x:c r="H8" s="148"/>
    </x:row>
    <x:row r="10" ht="30" customHeight="1">
      <x:c r="A10" s="15" t="str">
        <x:v>Control-review flags</x:v>
      </x:c>
      <x:c r="B10" s="16"/>
      <x:c r="C10" s="16"/>
      <x:c r="D10" s="17"/>
      <x:c r="E10" s="15" t="str">
        <x:v>Next decision</x:v>
      </x:c>
      <x:c r="F10" s="16"/>
      <x:c r="G10" s="16"/>
      <x:c r="H10" s="17"/>
    </x:row>
    <x:row r="11">
      <x:c r="A11" s="162" t="n">
        <x:f>COUNTIF('Score My Workflows'!L6:L17,"Control review required")</x:f>
        <x:v>0</x:v>
      </x:c>
      <x:c r="B11" s="163"/>
      <x:c r="C11" s="163"/>
      <x:c r="D11" s="164"/>
      <x:c r="E11" s="37" t="str">
        <x:f>IF(A6&gt;=75,"Review the top workflow's evidence and controls. If the priority or solution is unclear, Heutrix Diagnostics may be a useful paid next step. If the boundary and change are already clear, discuss a possible Heutrix Workflow Transformation scope.","Use the results to collect evidence and narrow one workflow before considering a project.")</x:f>
        <x:v>Use the results to collect evidence and narrow one workflow before considering a project.</x:v>
      </x:c>
      <x:c r="F11" s="38"/>
      <x:c r="G11" s="38"/>
      <x:c r="H11" s="39"/>
    </x:row>
    <x:row r="12">
      <x:c r="A12" s="165"/>
      <x:c r="B12" s="166"/>
      <x:c r="C12" s="166"/>
      <x:c r="D12" s="167"/>
      <x:c r="E12" s="40"/>
      <x:c r="F12" s="41"/>
      <x:c r="G12" s="41"/>
      <x:c r="H12" s="42"/>
    </x:row>
    <x:row r="13">
      <x:c r="E13" s="40"/>
      <x:c r="F13" s="41"/>
      <x:c r="G13" s="41"/>
      <x:c r="H13" s="42"/>
    </x:row>
    <x:row r="14">
      <x:c r="E14" s="43"/>
      <x:c r="F14" s="44"/>
      <x:c r="G14" s="44"/>
      <x:c r="H14" s="45"/>
    </x:row>
    <x:row r="16">
      <x:c r="A16" s="112" t="str">
        <x:v>A valid outcome can be to simplify the process, gather better evidence, keep an existing tool, apply a non-technology change, or decide not to proceed.</x:v>
      </x:c>
      <x:c r="B16" s="113"/>
      <x:c r="C16" s="113"/>
      <x:c r="D16" s="113"/>
      <x:c r="E16" s="113"/>
      <x:c r="F16" s="113"/>
      <x:c r="G16" s="113"/>
      <x:c r="H16" s="114"/>
    </x:row>
    <x:row r="17">
      <x:c r="A17" s="173"/>
      <x:c r="B17" s="174"/>
      <x:c r="C17" s="174"/>
      <x:c r="D17" s="174"/>
      <x:c r="E17" s="174"/>
      <x:c r="F17" s="174"/>
      <x:c r="G17" s="174"/>
      <x:c r="H17" s="175"/>
    </x:row>
    <x:row r="18">
      <x:c r="A18" s="115"/>
      <x:c r="B18" s="116"/>
      <x:c r="C18" s="116"/>
      <x:c r="D18" s="116"/>
      <x:c r="E18" s="116"/>
      <x:c r="F18" s="116"/>
      <x:c r="G18" s="116"/>
      <x:c r="H18" s="117"/>
    </x:row>
  </x:sheetData>
  <x:mergeCells>
    <x:mergeCell ref="A1:H1"/>
    <x:mergeCell ref="A2:H3"/>
    <x:mergeCell ref="A5:D5"/>
    <x:mergeCell ref="A6:D8"/>
    <x:mergeCell ref="E5:H5"/>
    <x:mergeCell ref="E6:H8"/>
    <x:mergeCell ref="A10:D10"/>
    <x:mergeCell ref="A11:D12"/>
    <x:mergeCell ref="E10:H10"/>
    <x:mergeCell ref="E11:H14"/>
    <x:mergeCell ref="A16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4" customHeight="1">
      <x:c r="A1" s="3" t="str">
        <x:v>Rating guide</x:v>
      </x:c>
      <x:c r="B1" s="3" t="str">
        <x:v>Rating guide</x:v>
      </x:c>
      <x:c r="C1" s="3" t="str">
        <x:v>Rating guide</x:v>
      </x:c>
      <x:c r="D1" s="3" t="str">
        <x:v>Rating guide</x:v>
      </x:c>
      <x:c r="E1" s="3" t="str">
        <x:v>Rating guide</x:v>
      </x:c>
    </x:row>
    <x:row r="2" ht="26" customHeight="1">
      <x:c r="A2" s="7" t="str">
        <x:v>Use direct observation, records and staff input where available. Do not increase a rating simply because a workflow is unpopular.</x:v>
      </x:c>
      <x:c r="B2" s="7" t="str">
        <x:v>Use direct observation, records and staff input where available. Do not increase a rating simply because a workflow is unpopular.</x:v>
      </x:c>
      <x:c r="C2" s="7" t="str">
        <x:v>Use direct observation, records and staff input where available. Do not increase a rating simply because a workflow is unpopular.</x:v>
      </x:c>
      <x:c r="D2" s="7" t="str">
        <x:v>Use direct observation, records and staff input where available. Do not increase a rating simply because a workflow is unpopular.</x:v>
      </x:c>
      <x:c r="E2" s="7" t="str">
        <x:v>Use direct observation, records and staff input where available. Do not increase a rating simply because a workflow is unpopular.</x:v>
      </x:c>
    </x:row>
    <x:row r="3" ht="26" customHeight="1">
      <x:c r="A3" s="7" t="str">
        <x:v>Use direct observation, records and staff input where available. Do not increase a rating simply because a workflow is unpopular.</x:v>
      </x:c>
      <x:c r="B3" s="7" t="str">
        <x:v>Use direct observation, records and staff input where available. Do not increase a rating simply because a workflow is unpopular.</x:v>
      </x:c>
      <x:c r="C3" s="7" t="str">
        <x:v>Use direct observation, records and staff input where available. Do not increase a rating simply because a workflow is unpopular.</x:v>
      </x:c>
      <x:c r="D3" s="7" t="str">
        <x:v>Use direct observation, records and staff input where available. Do not increase a rating simply because a workflow is unpopular.</x:v>
      </x:c>
      <x:c r="E3" s="7" t="str">
        <x:v>Use direct observation, records and staff input where available. Do not increase a rating simply because a workflow is unpopular.</x:v>
      </x:c>
    </x:row>
    <x:row r="5" ht="30" customHeight="1">
      <x:c r="A5" s="15" t="str">
        <x:v>Factor</x:v>
      </x:c>
      <x:c r="B5" s="16" t="str">
        <x:v>Weight</x:v>
      </x:c>
      <x:c r="C5" s="16" t="str">
        <x:v>1 - lower</x:v>
      </x:c>
      <x:c r="D5" s="16" t="str">
        <x:v>3 - moderate</x:v>
      </x:c>
      <x:c r="E5" s="17" t="str">
        <x:v>5 - higher</x:v>
      </x:c>
    </x:row>
    <x:row r="6" ht="38" customHeight="1">
      <x:c r="A6" s="37" t="str">
        <x:v>Frequency</x:v>
      </x:c>
      <x:c r="B6" s="176" t="str">
        <x:v>15%</x:v>
      </x:c>
      <x:c r="C6" s="38" t="str">
        <x:v>Monthly or less</x:v>
      </x:c>
      <x:c r="D6" s="38" t="str">
        <x:v>Several times a week</x:v>
      </x:c>
      <x:c r="E6" s="39" t="str">
        <x:v>Daily or many times a day</x:v>
      </x:c>
    </x:row>
    <x:row r="7" ht="38" customHeight="1">
      <x:c r="A7" s="40" t="str">
        <x:v>Staff effort</x:v>
      </x:c>
      <x:c r="B7" s="177" t="str">
        <x:v>15%</x:v>
      </x:c>
      <x:c r="C7" s="41" t="str">
        <x:v>A few minutes; little coordination</x:v>
      </x:c>
      <x:c r="D7" s="41" t="str">
        <x:v>Noticeable manual work or chasing</x:v>
      </x:c>
      <x:c r="E7" s="42" t="str">
        <x:v>Large repeated effort across roles</x:v>
      </x:c>
    </x:row>
    <x:row r="8" ht="38" customHeight="1">
      <x:c r="A8" s="40" t="str">
        <x:v>Handoffs</x:v>
      </x:c>
      <x:c r="B8" s="177" t="str">
        <x:v>10%</x:v>
      </x:c>
      <x:c r="C8" s="41" t="str">
        <x:v>One owner; few transfers</x:v>
      </x:c>
      <x:c r="D8" s="41" t="str">
        <x:v>Several roles or systems</x:v>
      </x:c>
      <x:c r="E8" s="42" t="str">
        <x:v>Many transfers; ownership often unclear</x:v>
      </x:c>
    </x:row>
    <x:row r="9" ht="38" customHeight="1">
      <x:c r="A9" s="40" t="str">
        <x:v>Delay impact</x:v>
      </x:c>
      <x:c r="B9" s="177" t="str">
        <x:v>15%</x:v>
      </x:c>
      <x:c r="C9" s="41" t="str">
        <x:v>Delay is minor and recoverable</x:v>
      </x:c>
      <x:c r="D9" s="41" t="str">
        <x:v>Delay affects planning or follow-up</x:v>
      </x:c>
      <x:c r="E9" s="42" t="str">
        <x:v>Delay materially disrupts service or operations</x:v>
      </x:c>
    </x:row>
    <x:row r="10" ht="38" customHeight="1">
      <x:c r="A10" s="40" t="str">
        <x:v>Error / rework</x:v>
      </x:c>
      <x:c r="B10" s="177" t="str">
        <x:v>10%</x:v>
      </x:c>
      <x:c r="C10" s="41" t="str">
        <x:v>Rare or easy to correct</x:v>
      </x:c>
      <x:c r="D10" s="41" t="str">
        <x:v>Regular checking or re-entry</x:v>
      </x:c>
      <x:c r="E10" s="42" t="str">
        <x:v>Frequent rework or material correction</x:v>
      </x:c>
    </x:row>
    <x:row r="11" ht="38" customHeight="1">
      <x:c r="A11" s="40" t="str">
        <x:v>Visibility gap</x:v>
      </x:c>
      <x:c r="B11" s="177" t="str">
        <x:v>15%</x:v>
      </x:c>
      <x:c r="C11" s="41" t="str">
        <x:v>Status and next action are clear</x:v>
      </x:c>
      <x:c r="D11" s="41" t="str">
        <x:v>Some manual checking is needed</x:v>
      </x:c>
      <x:c r="E11" s="42" t="str">
        <x:v>Managers cannot reliably see owner, status or next action</x:v>
      </x:c>
    </x:row>
    <x:row r="12" ht="38" customHeight="1">
      <x:c r="A12" s="40" t="str">
        <x:v>Change feasibility</x:v>
      </x:c>
      <x:c r="B12" s="177" t="str">
        <x:v>15%</x:v>
      </x:c>
      <x:c r="C12" s="41" t="str">
        <x:v>Dependencies make near-term change difficult</x:v>
      </x:c>
      <x:c r="D12" s="41" t="str">
        <x:v>Some approvals or redesign required</x:v>
      </x:c>
      <x:c r="E12" s="42" t="str">
        <x:v>Bounded change appears practical with an owner</x:v>
      </x:c>
    </x:row>
    <x:row r="13" ht="38" customHeight="1">
      <x:c r="A13" s="43" t="str">
        <x:v>Evidence confidence</x:v>
      </x:c>
      <x:c r="B13" s="178" t="str">
        <x:v>5%</x:v>
      </x:c>
      <x:c r="C13" s="44" t="str">
        <x:v>Mostly assumption</x:v>
      </x:c>
      <x:c r="D13" s="44" t="str">
        <x:v>Some records or corroboration</x:v>
      </x:c>
      <x:c r="E13" s="45" t="str">
        <x:v>Strong direct evidence from the workflow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3" hidden="0" customWidth="1"/>
    <x:col min="12" max="12" width="19" hidden="0" customWidth="1"/>
    <x:col min="13" max="13" width="36" hidden="0" customWidth="1"/>
  </x:cols>
  <x:sheetData>
    <x:row r="1" ht="34" customHeight="1">
      <x:c r="A1" s="3" t="str">
        <x:v>Synthetic example - not a client result</x:v>
      </x:c>
      <x:c r="B1" s="3" t="str">
        <x:v>Synthetic example - not a client result</x:v>
      </x:c>
      <x:c r="C1" s="3" t="str">
        <x:v>Synthetic example - not a client result</x:v>
      </x:c>
      <x:c r="D1" s="3" t="str">
        <x:v>Synthetic example - not a client result</x:v>
      </x:c>
      <x:c r="E1" s="3" t="str">
        <x:v>Synthetic example - not a client result</x:v>
      </x:c>
      <x:c r="F1" s="3" t="str">
        <x:v>Synthetic example - not a client result</x:v>
      </x:c>
      <x:c r="G1" s="3" t="str">
        <x:v>Synthetic example - not a client result</x:v>
      </x:c>
      <x:c r="H1" s="3" t="str">
        <x:v>Synthetic example - not a client result</x:v>
      </x:c>
      <x:c r="I1" s="3" t="str">
        <x:v>Synthetic example - not a client result</x:v>
      </x:c>
      <x:c r="J1" s="3" t="str">
        <x:v>Synthetic example - not a client result</x:v>
      </x:c>
      <x:c r="K1" s="3" t="str">
        <x:v>Synthetic example - not a client result</x:v>
      </x:c>
      <x:c r="L1" s="3" t="str">
        <x:v>Synthetic example - not a client result</x:v>
      </x:c>
      <x:c r="M1" s="3" t="str">
        <x:v>Synthetic example - not a client result</x:v>
      </x:c>
    </x:row>
    <x:row r="2" ht="26" customHeight="1">
      <x:c r="A2" s="7" t="str">
        <x:v>This fictional example shows how to use the scorecard. It does not evidence an outcome, define a compliance model or recommend a specific system.</x:v>
      </x:c>
      <x:c r="B2" s="7" t="str">
        <x:v>This fictional example shows how to use the scorecard. It does not evidence an outcome, define a compliance model or recommend a specific system.</x:v>
      </x:c>
      <x:c r="C2" s="7" t="str">
        <x:v>This fictional example shows how to use the scorecard. It does not evidence an outcome, define a compliance model or recommend a specific system.</x:v>
      </x:c>
      <x:c r="D2" s="7" t="str">
        <x:v>This fictional example shows how to use the scorecard. It does not evidence an outcome, define a compliance model or recommend a specific system.</x:v>
      </x:c>
      <x:c r="E2" s="7" t="str">
        <x:v>This fictional example shows how to use the scorecard. It does not evidence an outcome, define a compliance model or recommend a specific system.</x:v>
      </x:c>
      <x:c r="F2" s="7" t="str">
        <x:v>This fictional example shows how to use the scorecard. It does not evidence an outcome, define a compliance model or recommend a specific system.</x:v>
      </x:c>
      <x:c r="G2" s="7" t="str">
        <x:v>This fictional example shows how to use the scorecard. It does not evidence an outcome, define a compliance model or recommend a specific system.</x:v>
      </x:c>
      <x:c r="H2" s="7" t="str">
        <x:v>This fictional example shows how to use the scorecard. It does not evidence an outcome, define a compliance model or recommend a specific system.</x:v>
      </x:c>
      <x:c r="I2" s="7" t="str">
        <x:v>This fictional example shows how to use the scorecard. It does not evidence an outcome, define a compliance model or recommend a specific system.</x:v>
      </x:c>
      <x:c r="J2" s="7" t="str">
        <x:v>This fictional example shows how to use the scorecard. It does not evidence an outcome, define a compliance model or recommend a specific system.</x:v>
      </x:c>
      <x:c r="K2" s="7" t="str">
        <x:v>This fictional example shows how to use the scorecard. It does not evidence an outcome, define a compliance model or recommend a specific system.</x:v>
      </x:c>
      <x:c r="L2" s="7" t="str">
        <x:v>This fictional example shows how to use the scorecard. It does not evidence an outcome, define a compliance model or recommend a specific system.</x:v>
      </x:c>
      <x:c r="M2" s="7" t="str">
        <x:v>This fictional example shows how to use the scorecard. It does not evidence an outcome, define a compliance model or recommend a specific system.</x:v>
      </x:c>
    </x:row>
    <x:row r="3" ht="26" customHeight="1">
      <x:c r="A3" s="7" t="str">
        <x:v>This fictional example shows how to use the scorecard. It does not evidence an outcome, define a compliance model or recommend a specific system.</x:v>
      </x:c>
      <x:c r="B3" s="7" t="str">
        <x:v>This fictional example shows how to use the scorecard. It does not evidence an outcome, define a compliance model or recommend a specific system.</x:v>
      </x:c>
      <x:c r="C3" s="7" t="str">
        <x:v>This fictional example shows how to use the scorecard. It does not evidence an outcome, define a compliance model or recommend a specific system.</x:v>
      </x:c>
      <x:c r="D3" s="7" t="str">
        <x:v>This fictional example shows how to use the scorecard. It does not evidence an outcome, define a compliance model or recommend a specific system.</x:v>
      </x:c>
      <x:c r="E3" s="7" t="str">
        <x:v>This fictional example shows how to use the scorecard. It does not evidence an outcome, define a compliance model or recommend a specific system.</x:v>
      </x:c>
      <x:c r="F3" s="7" t="str">
        <x:v>This fictional example shows how to use the scorecard. It does not evidence an outcome, define a compliance model or recommend a specific system.</x:v>
      </x:c>
      <x:c r="G3" s="7" t="str">
        <x:v>This fictional example shows how to use the scorecard. It does not evidence an outcome, define a compliance model or recommend a specific system.</x:v>
      </x:c>
      <x:c r="H3" s="7" t="str">
        <x:v>This fictional example shows how to use the scorecard. It does not evidence an outcome, define a compliance model or recommend a specific system.</x:v>
      </x:c>
      <x:c r="I3" s="7" t="str">
        <x:v>This fictional example shows how to use the scorecard. It does not evidence an outcome, define a compliance model or recommend a specific system.</x:v>
      </x:c>
      <x:c r="J3" s="7" t="str">
        <x:v>This fictional example shows how to use the scorecard. It does not evidence an outcome, define a compliance model or recommend a specific system.</x:v>
      </x:c>
      <x:c r="K3" s="7" t="str">
        <x:v>This fictional example shows how to use the scorecard. It does not evidence an outcome, define a compliance model or recommend a specific system.</x:v>
      </x:c>
      <x:c r="L3" s="7" t="str">
        <x:v>This fictional example shows how to use the scorecard. It does not evidence an outcome, define a compliance model or recommend a specific system.</x:v>
      </x:c>
      <x:c r="M3" s="7" t="str">
        <x:v>This fictional example shows how to use the scorecard. It does not evidence an outcome, define a compliance model or recommend a specific system.</x:v>
      </x:c>
    </x:row>
    <x:row r="5" ht="30" customHeight="1">
      <x:c r="A5" s="15" t="str">
        <x:v>Workflow</x:v>
      </x:c>
      <x:c r="B5" s="16" t="str">
        <x:v>Frequency</x:v>
      </x:c>
      <x:c r="C5" s="16" t="str">
        <x:v>Staff effort</x:v>
      </x:c>
      <x:c r="D5" s="16" t="str">
        <x:v>Handoffs</x:v>
      </x:c>
      <x:c r="E5" s="16" t="str">
        <x:v>Delay impact</x:v>
      </x:c>
      <x:c r="F5" s="16" t="str">
        <x:v>Error / rework</x:v>
      </x:c>
      <x:c r="G5" s="16" t="str">
        <x:v>Visibility gap</x:v>
      </x:c>
      <x:c r="H5" s="16" t="str">
        <x:v>Change feasibility</x:v>
      </x:c>
      <x:c r="I5" s="16" t="str">
        <x:v>Evidence confidence</x:v>
      </x:c>
      <x:c r="J5" s="16" t="str">
        <x:v>Sensitive or high-stakes?</x:v>
      </x:c>
      <x:c r="K5" s="16" t="str">
        <x:v>Weighted score</x:v>
      </x:c>
      <x:c r="L5" s="16" t="str">
        <x:v>Control flag</x:v>
      </x:c>
      <x:c r="M5" s="17" t="str">
        <x:v>Suggested action</x:v>
      </x:c>
    </x:row>
    <x:row r="6" ht="38" customHeight="1">
      <x:c r="A6" s="37" t="str">
        <x:v>Service commencement action tracking</x:v>
      </x:c>
      <x:c r="B6" s="38" t="n">
        <x:v>5</x:v>
      </x:c>
      <x:c r="C6" s="38" t="n">
        <x:v>4</x:v>
      </x:c>
      <x:c r="D6" s="38" t="n">
        <x:v>4</x:v>
      </x:c>
      <x:c r="E6" s="38" t="n">
        <x:v>5</x:v>
      </x:c>
      <x:c r="F6" s="38" t="n">
        <x:v>3</x:v>
      </x:c>
      <x:c r="G6" s="38" t="n">
        <x:v>5</x:v>
      </x:c>
      <x:c r="H6" s="38" t="n">
        <x:v>4</x:v>
      </x:c>
      <x:c r="I6" s="38" t="n">
        <x:v>4</x:v>
      </x:c>
      <x:c r="J6" s="38" t="str">
        <x:v>Unsure</x:v>
      </x:c>
      <x:c r="K6" s="179" t="n">
        <x:f>ROUND((B6*15+C6*15+D6*10+E6*15+F6*10+G6*15+H6*15+I6*5)/5,0)</x:f>
        <x:v>87</x:v>
      </x:c>
      <x:c r="L6" s="38" t="str">
        <x:f>IF(J6="No","Standard review","Control review required")</x:f>
        <x:v>Control review required</x:v>
      </x:c>
      <x:c r="M6" s="39" t="str">
        <x:f>IF(J6&lt;&gt;"No","Do not treat as ready - review information, authority and controls",IF(I6&lt;3,"Gather better evidence before prioritising",IF(K6&gt;=75,"Strong candidate for a bounded review",IF(K6&gt;=55,"Clarify boundary and feasibility","Keep watching or simplify first"))))</x:f>
        <x:v>Do not treat as ready - review information, authority and controls</x:v>
      </x:c>
    </x:row>
    <x:row r="7" ht="38" customHeight="1">
      <x:c r="A7" s="40" t="str">
        <x:v>Monthly reporting preparation</x:v>
      </x:c>
      <x:c r="B7" s="41" t="n">
        <x:v>3</x:v>
      </x:c>
      <x:c r="C7" s="41" t="n">
        <x:v>4</x:v>
      </x:c>
      <x:c r="D7" s="41" t="n">
        <x:v>3</x:v>
      </x:c>
      <x:c r="E7" s="41" t="n">
        <x:v>3</x:v>
      </x:c>
      <x:c r="F7" s="41" t="n">
        <x:v>4</x:v>
      </x:c>
      <x:c r="G7" s="41" t="n">
        <x:v>4</x:v>
      </x:c>
      <x:c r="H7" s="41" t="n">
        <x:v>4</x:v>
      </x:c>
      <x:c r="I7" s="41" t="n">
        <x:v>3</x:v>
      </x:c>
      <x:c r="J7" s="41" t="str">
        <x:v>No</x:v>
      </x:c>
      <x:c r="K7" s="180" t="n">
        <x:f>ROUND((B7*15+C7*15+D7*10+E7*15+F7*10+G7*15+H7*15+I7*5)/5,0)</x:f>
        <x:v>71</x:v>
      </x:c>
      <x:c r="L7" s="41" t="str">
        <x:f>IF(J7="No","Standard review","Control review required")</x:f>
        <x:v>Standard review</x:v>
      </x:c>
      <x:c r="M7" s="42" t="str">
        <x:f>IF(J7&lt;&gt;"No","Do not treat as ready - review information, authority and controls",IF(I7&lt;3,"Gather better evidence before prioritising",IF(K7&gt;=75,"Strong candidate for a bounded review",IF(K7&gt;=55,"Clarify boundary and feasibility","Keep watching or simplify first"))))</x:f>
        <x:v>Clarify boundary and feasibility</x:v>
      </x:c>
    </x:row>
    <x:row r="8" ht="38" customHeight="1">
      <x:c r="A8" s="43" t="str">
        <x:v>General team meeting agenda</x:v>
      </x:c>
      <x:c r="B8" s="44" t="n">
        <x:v>2</x:v>
      </x:c>
      <x:c r="C8" s="44" t="n">
        <x:v>2</x:v>
      </x:c>
      <x:c r="D8" s="44" t="n">
        <x:v>2</x:v>
      </x:c>
      <x:c r="E8" s="44" t="n">
        <x:v>2</x:v>
      </x:c>
      <x:c r="F8" s="44" t="n">
        <x:v>1</x:v>
      </x:c>
      <x:c r="G8" s="44" t="n">
        <x:v>2</x:v>
      </x:c>
      <x:c r="H8" s="44" t="n">
        <x:v>5</x:v>
      </x:c>
      <x:c r="I8" s="44" t="n">
        <x:v>2</x:v>
      </x:c>
      <x:c r="J8" s="44" t="str">
        <x:v>No</x:v>
      </x:c>
      <x:c r="K8" s="181" t="n">
        <x:f>ROUND((B8*15+C8*15+D8*10+E8*15+F8*10+G8*15+H8*15+I8*5)/5,0)</x:f>
        <x:v>47</x:v>
      </x:c>
      <x:c r="L8" s="44" t="str">
        <x:f>IF(J8="No","Standard review","Control review required")</x:f>
        <x:v>Standard review</x:v>
      </x:c>
      <x:c r="M8" s="45" t="str">
        <x:f>IF(J8&lt;&gt;"No","Do not treat as ready - review information, authority and controls",IF(I8&lt;3,"Gather better evidence before prioritising",IF(K8&gt;=75,"Strong candidate for a bounded review",IF(K8&gt;=55,"Clarify boundary and feasibility","Keep watching or simplify first"))))</x:f>
        <x:v>Gather better evidence before prioritising</x:v>
      </x:c>
    </x:row>
    <x:row r="10">
      <x:c r="A10" s="72" t="str">
        <x:v>The first workflow scores highly but carries an unresolved control flag. The example therefore requires information, authority and control review before any change is treated as ready.</x:v>
      </x:c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4"/>
    </x:row>
    <x:row r="11">
      <x:c r="A11" s="187"/>
      <x:c r="B11" s="188"/>
      <x:c r="C11" s="188"/>
      <x:c r="D11" s="188"/>
      <x:c r="E11" s="188"/>
      <x:c r="F11" s="188"/>
      <x:c r="G11" s="188"/>
      <x:c r="H11" s="188"/>
      <x:c r="I11" s="188"/>
      <x:c r="J11" s="188"/>
      <x:c r="K11" s="188"/>
      <x:c r="L11" s="188"/>
      <x:c r="M11" s="189"/>
    </x:row>
    <x:row r="12">
      <x:c r="A12" s="75"/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7"/>
    </x:row>
  </x:sheetData>
  <x:mergeCells>
    <x:mergeCell ref="A1:M1"/>
    <x:mergeCell ref="A2:M3"/>
    <x:mergeCell ref="A10:M12"/>
  </x:mergeCells>
  <x:pageMargins left="0.7" right="0.7" top="0.75" bottom="0.75" header="0.3" footer="0.3"/>
</x:worksheet>
</file>