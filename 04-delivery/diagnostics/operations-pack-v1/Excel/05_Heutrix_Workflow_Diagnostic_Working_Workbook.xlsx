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92626792b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 &amp; Rules" sheetId="1" r:id="Rbd8c61b0d6014976"/>
    <x:sheet xmlns:r="http://schemas.openxmlformats.org/officeDocument/2006/relationships" name="Start Here" sheetId="2" r:id="R7d4dfa64bfcd42c1"/>
    <x:sheet xmlns:r="http://schemas.openxmlformats.org/officeDocument/2006/relationships" name="Fit Call" sheetId="3" r:id="R4840ced92da649d0"/>
    <x:sheet xmlns:r="http://schemas.openxmlformats.org/officeDocument/2006/relationships" name="Engagement Setup" sheetId="4" r:id="Rbbae04e8867d4c8c"/>
    <x:sheet xmlns:r="http://schemas.openxmlformats.org/officeDocument/2006/relationships" name="Evidence Register" sheetId="5" r:id="R0b4eb9c37c8e4077"/>
    <x:sheet xmlns:r="http://schemas.openxmlformats.org/officeDocument/2006/relationships" name="Current State" sheetId="6" r:id="Rf41e6a0f2aae4946"/>
    <x:sheet xmlns:r="http://schemas.openxmlformats.org/officeDocument/2006/relationships" name="Pain &amp; Root Causes" sheetId="7" r:id="R6b926428b2a34230"/>
    <x:sheet xmlns:r="http://schemas.openxmlformats.org/officeDocument/2006/relationships" name="Opportunity Scoring" sheetId="8" r:id="R965e76792d954525"/>
    <x:sheet xmlns:r="http://schemas.openxmlformats.org/officeDocument/2006/relationships" name="Future State" sheetId="9" r:id="R8aecfadd90a54f20"/>
    <x:sheet xmlns:r="http://schemas.openxmlformats.org/officeDocument/2006/relationships" name="RAID &amp; Decisions" sheetId="10" r:id="R06ffe2debe2d4837"/>
    <x:sheet xmlns:r="http://schemas.openxmlformats.org/officeDocument/2006/relationships" name="Deliverables QA" sheetId="11" r:id="R8ba85774f59d44c1"/>
    <x:sheet xmlns:r="http://schemas.openxmlformats.org/officeDocument/2006/relationships" name="Closeout" sheetId="12" r:id="Rd36528320e14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"/>
    <x:numFmt numFmtId="202" formatCode="yyyy-mm-dd"/>
    <x:numFmt numFmtId="203" formatCode="0"/>
    <x:numFmt numFmtId="204" formatCode="0.00"/>
  </x:numFmts>
  <x:fonts count="9">
    <x:font>
      <x:sz val="11"/>
      <x:name val="Carlito"/>
    </x:font>
    <x:font>
      <x:b/>
      <x:sz val="18"/>
      <x:color rgb="FFFFFFFF"/>
      <x:name val="Calibri"/>
    </x:font>
    <x:font>
      <x:i/>
      <x:sz val="10"/>
      <x:color rgb="FF1F4D78"/>
      <x:name val="Calibri"/>
    </x:font>
    <x:font>
      <x:b/>
      <x:sz val="11"/>
      <x:color rgb="FFFFFFFF"/>
      <x:name val="Calibri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9"/>
      <x:color rgb="FF20262E"/>
      <x:name val="Calibri"/>
    </x:font>
    <x:font>
      <x:b/>
      <x:sz val="9"/>
      <x:color rgb="FFFFFFFF"/>
      <x:name val="Calibri"/>
    </x:font>
    <x:font>
      <x:b/>
      <x:sz val="12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  <x:fill>
      <x:patternFill patternType="solid">
        <x:fgColor rgb="FFE8F3EC"/>
      </x:patternFill>
    </x:fill>
  </x:fills>
  <x:borders count="5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202" fontId="0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3" fontId="0" fillId="6" borderId="1" xfId="0" applyNumberFormat="1" applyFont="1" applyFill="1" applyBorder="1" applyAlignment="1">
      <x:alignment vertical="center" wrapText="1"/>
    </x:xf>
    <x:xf numFmtId="204" fontId="4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9f24bd4df4ec4" /><Relationship Type="http://schemas.openxmlformats.org/officeDocument/2006/relationships/theme" Target="/xl/theme/theme1.xml" Id="R32a345207117483d" /><Relationship Type="http://schemas.openxmlformats.org/officeDocument/2006/relationships/sharedStrings" Target="/xl/sharedStrings.xml" Id="R7d2297dcb9764a67" /><Relationship Type="http://schemas.openxmlformats.org/officeDocument/2006/relationships/worksheet" Target="/xl/worksheets/sheet1.xml" Id="Rbd8c61b0d6014976" /><Relationship Type="http://schemas.openxmlformats.org/officeDocument/2006/relationships/worksheet" Target="/xl/worksheets/sheet2.xml" Id="R7d4dfa64bfcd42c1" /><Relationship Type="http://schemas.openxmlformats.org/officeDocument/2006/relationships/worksheet" Target="/xl/worksheets/sheet3.xml" Id="R4840ced92da649d0" /><Relationship Type="http://schemas.openxmlformats.org/officeDocument/2006/relationships/worksheet" Target="/xl/worksheets/sheet4.xml" Id="Rbbae04e8867d4c8c" /><Relationship Type="http://schemas.openxmlformats.org/officeDocument/2006/relationships/worksheet" Target="/xl/worksheets/sheet5.xml" Id="R0b4eb9c37c8e4077" /><Relationship Type="http://schemas.openxmlformats.org/officeDocument/2006/relationships/worksheet" Target="/xl/worksheets/sheet6.xml" Id="Rf41e6a0f2aae4946" /><Relationship Type="http://schemas.openxmlformats.org/officeDocument/2006/relationships/worksheet" Target="/xl/worksheets/sheet7.xml" Id="R6b926428b2a34230" /><Relationship Type="http://schemas.openxmlformats.org/officeDocument/2006/relationships/worksheet" Target="/xl/worksheets/sheet8.xml" Id="R965e76792d954525" /><Relationship Type="http://schemas.openxmlformats.org/officeDocument/2006/relationships/worksheet" Target="/xl/worksheets/sheet9.xml" Id="R8aecfadd90a54f20" /><Relationship Type="http://schemas.openxmlformats.org/officeDocument/2006/relationships/worksheet" Target="/xl/worksheets/sheet10.xml" Id="R06ffe2debe2d4837" /><Relationship Type="http://schemas.openxmlformats.org/officeDocument/2006/relationships/worksheet" Target="/xl/worksheets/sheet11.xml" Id="R8ba85774f59d44c1" /><Relationship Type="http://schemas.openxmlformats.org/officeDocument/2006/relationships/worksheet" Target="/xl/worksheets/sheet12.xml" Id="Rd36528320e144d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4" max="4" width="24" hidden="0" customWidth="1"/>
    <x:col min="5" max="5" width="18" hidden="0" customWidth="1"/>
    <x:col min="6" max="6" width="20" hidden="0" customWidth="1"/>
    <x:col min="7" max="7" width="22" hidden="0" customWidth="1"/>
    <x:col min="8" max="8" width="18" hidden="0" customWidth="1"/>
    <x:col min="9" max="9" width="24" hidden="0" customWidth="1"/>
    <x:col min="10" max="10" width="28" hidden="0" customWidth="1"/>
    <x:col min="11" max="11" width="34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30" customHeight="1">
      <x:c r="A1" s="3" t="str">
        <x:v>Lists and Rules</x:v>
      </x:c>
      <x:c r="B1" s="3"/>
      <x:c r="C1" s="3"/>
      <x:c r="D1" s="3"/>
      <x:c r="E1" s="3"/>
      <x:c r="F1" s="3"/>
      <x:c r="G1" s="3"/>
      <x:c r="H1" s="3"/>
      <x:c r="I1" s="72"/>
      <x:c r="J1" s="72"/>
      <x:c r="K1" s="72"/>
      <x:c r="L1" s="72"/>
      <x:c r="M1" s="72"/>
      <x:c r="N1" s="72"/>
    </x:row>
    <x:row r="2" ht="27" customHeight="1">
      <x:c r="A2" s="7" t="str">
        <x:v>Central scoring weights, thresholds and validation values. Change only with Heutrix approval.</x:v>
      </x:c>
      <x:c r="B2" s="7"/>
      <x:c r="C2" s="7"/>
      <x:c r="D2" s="7"/>
      <x:c r="E2" s="7"/>
      <x:c r="F2" s="7"/>
      <x:c r="G2" s="7"/>
      <x:c r="H2" s="7"/>
      <x:c r="I2" s="72"/>
      <x:c r="J2" s="72"/>
      <x:c r="K2" s="72"/>
      <x:c r="L2" s="72"/>
      <x:c r="M2" s="72"/>
      <x:c r="N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</x:row>
    <x:row r="4" ht="22" customHeight="1">
      <x:c r="A4" s="10" t="str">
        <x:v>Opportunity scoring</x:v>
      </x:c>
      <x:c r="B4" s="10"/>
      <x:c r="C4" s="72"/>
      <x:c r="D4" s="29" t="str">
        <x:v>Fit result</x:v>
      </x:c>
      <x:c r="E4" s="29" t="str">
        <x:v>Status</x:v>
      </x:c>
      <x:c r="F4" s="29" t="str">
        <x:v>Confidence</x:v>
      </x:c>
      <x:c r="G4" s="29" t="str">
        <x:v>Data class</x:v>
      </x:c>
      <x:c r="H4" s="29" t="str">
        <x:v>Approval</x:v>
      </x:c>
      <x:c r="I4" s="29" t="str">
        <x:v>Evidence type</x:v>
      </x:c>
      <x:c r="J4" s="29" t="str">
        <x:v>Root cause lens</x:v>
      </x:c>
      <x:c r="K4" s="29" t="str">
        <x:v>Option</x:v>
      </x:c>
      <x:c r="L4" s="29" t="str">
        <x:v>RAID type</x:v>
      </x:c>
      <x:c r="M4" s="29" t="str">
        <x:v>Priority</x:v>
      </x:c>
      <x:c r="N4" s="29" t="str">
        <x:v>Yes / No</x:v>
      </x:c>
    </x:row>
    <x:row r="5">
      <x:c r="A5" s="15" t="str">
        <x:v>Operational benefit</x:v>
      </x:c>
      <x:c r="B5" s="16" t="n">
        <x:v>0.3</x:v>
      </x:c>
      <x:c r="C5" s="72"/>
      <x:c r="D5" s="26" t="str">
        <x:v>Proceed</x:v>
      </x:c>
      <x:c r="E5" s="26" t="str">
        <x:v>Not Started</x:v>
      </x:c>
      <x:c r="F5" s="26" t="str">
        <x:v>High</x:v>
      </x:c>
      <x:c r="G5" s="26" t="str">
        <x:v>Public</x:v>
      </x:c>
      <x:c r="H5" s="26" t="str">
        <x:v>Approved</x:v>
      </x:c>
      <x:c r="I5" s="26" t="str">
        <x:v>Procedure</x:v>
      </x:c>
      <x:c r="J5" s="26" t="str">
        <x:v>People and ownership</x:v>
      </x:c>
      <x:c r="K5" s="26" t="str">
        <x:v>Process and ownership change</x:v>
      </x:c>
      <x:c r="L5" s="26" t="str">
        <x:v>Risk</x:v>
      </x:c>
      <x:c r="M5" s="26" t="str">
        <x:v>P1</x:v>
      </x:c>
      <x:c r="N5" s="26" t="str">
        <x:v>Yes</x:v>
      </x:c>
    </x:row>
    <x:row r="6">
      <x:c r="A6" s="15" t="str">
        <x:v>Risk reduction</x:v>
      </x:c>
      <x:c r="B6" s="16" t="n">
        <x:v>0.2</x:v>
      </x:c>
      <x:c r="C6" s="72"/>
      <x:c r="D6" s="26" t="str">
        <x:v>Clarify</x:v>
      </x:c>
      <x:c r="E6" s="26" t="str">
        <x:v>In Progress</x:v>
      </x:c>
      <x:c r="F6" s="26" t="str">
        <x:v>Medium</x:v>
      </x:c>
      <x:c r="G6" s="26" t="str">
        <x:v>Internal</x:v>
      </x:c>
      <x:c r="H6" s="26" t="str">
        <x:v>Not approved</x:v>
      </x:c>
      <x:c r="I6" s="26" t="str">
        <x:v>Template / form</x:v>
      </x:c>
      <x:c r="J6" s="26" t="str">
        <x:v>Process</x:v>
      </x:c>
      <x:c r="K6" s="26" t="str">
        <x:v>Configure approved existing tools</x:v>
      </x:c>
      <x:c r="L6" s="26" t="str">
        <x:v>Assumption</x:v>
      </x:c>
      <x:c r="M6" s="26" t="str">
        <x:v>P2</x:v>
      </x:c>
      <x:c r="N6" s="26" t="str">
        <x:v>No</x:v>
      </x:c>
    </x:row>
    <x:row r="7">
      <x:c r="A7" s="15" t="str">
        <x:v>Feasibility</x:v>
      </x:c>
      <x:c r="B7" s="16" t="n">
        <x:v>0.2</x:v>
      </x:c>
      <x:c r="C7" s="72"/>
      <x:c r="D7" s="26" t="str">
        <x:v>No-Go</x:v>
      </x:c>
      <x:c r="E7" s="26" t="str">
        <x:v>Complete</x:v>
      </x:c>
      <x:c r="F7" s="26" t="str">
        <x:v>Low</x:v>
      </x:c>
      <x:c r="G7" s="26" t="str">
        <x:v>Confidential</x:v>
      </x:c>
      <x:c r="H7" s="26" t="str">
        <x:v>Not required</x:v>
      </x:c>
      <x:c r="I7" s="26" t="str">
        <x:v>De-identified sample</x:v>
      </x:c>
      <x:c r="J7" s="26" t="str">
        <x:v>Information</x:v>
      </x:c>
      <x:c r="K7" s="26" t="str">
        <x:v>Low-code workflow</x:v>
      </x:c>
      <x:c r="L7" s="26" t="str">
        <x:v>Issue</x:v>
      </x:c>
      <x:c r="M7" s="26" t="str">
        <x:v>P3</x:v>
      </x:c>
      <x:c r="N7" s="26" t="str">
        <x:v>To confirm</x:v>
      </x:c>
    </x:row>
    <x:row r="8">
      <x:c r="A8" s="15" t="str">
        <x:v>Evidence confidence</x:v>
      </x:c>
      <x:c r="B8" s="16" t="n">
        <x:v>0.15</x:v>
      </x:c>
      <x:c r="C8" s="72"/>
      <x:c r="D8" s="72"/>
      <x:c r="E8" s="26" t="str">
        <x:v>Blocked</x:v>
      </x:c>
      <x:c r="F8" s="72"/>
      <x:c r="G8" s="26" t="str">
        <x:v>Personal</x:v>
      </x:c>
      <x:c r="H8" s="72"/>
      <x:c r="I8" s="26" t="str">
        <x:v>System field / status</x:v>
      </x:c>
      <x:c r="J8" s="26" t="str">
        <x:v>Systems</x:v>
      </x:c>
      <x:c r="K8" s="26" t="str">
        <x:v>Tailored internal system</x:v>
      </x:c>
      <x:c r="L8" s="26" t="str">
        <x:v>Decision</x:v>
      </x:c>
      <x:c r="M8" s="26" t="str">
        <x:v>PARK</x:v>
      </x:c>
      <x:c r="N8" s="72"/>
    </x:row>
    <x:row r="9">
      <x:c r="A9" s="15" t="str">
        <x:v>Strategic fit</x:v>
      </x:c>
      <x:c r="B9" s="16" t="n">
        <x:v>0.15</x:v>
      </x:c>
      <x:c r="C9" s="72"/>
      <x:c r="D9" s="72"/>
      <x:c r="E9" s="26" t="str">
        <x:v>N/A</x:v>
      </x:c>
      <x:c r="F9" s="72"/>
      <x:c r="G9" s="26" t="str">
        <x:v>Sensitive / health</x:v>
      </x:c>
      <x:c r="H9" s="72"/>
      <x:c r="I9" s="26" t="str">
        <x:v>Workshop statement</x:v>
      </x:c>
      <x:c r="J9" s="26" t="str">
        <x:v>Controls</x:v>
      </x:c>
      <x:c r="K9" s="26" t="str">
        <x:v>Controlled AI assistance</x:v>
      </x:c>
      <x:c r="L9" s="72"/>
      <x:c r="M9" s="72"/>
      <x:c r="N9" s="72"/>
    </x:row>
    <x:row r="10">
      <x:c r="A10" s="41" t="str">
        <x:v>Weight check</x:v>
      </x:c>
      <x:c r="B10" s="73" t="n">
        <x:f>SUM(B5:B9)</x:f>
        <x:v>1</x:v>
      </x:c>
      <x:c r="C10" s="72"/>
      <x:c r="D10" s="72"/>
      <x:c r="E10" s="72"/>
      <x:c r="F10" s="72"/>
      <x:c r="G10" s="72"/>
      <x:c r="H10" s="72"/>
      <x:c r="I10" s="26" t="str">
        <x:v>Volume / timing data</x:v>
      </x:c>
      <x:c r="J10" s="72"/>
      <x:c r="K10" s="26" t="str">
        <x:v>No project</x:v>
      </x:c>
      <x:c r="L10" s="72"/>
      <x:c r="M10" s="72"/>
      <x:c r="N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26" t="str">
        <x:v>Analyst observation</x:v>
      </x:c>
      <x:c r="J11" s="72"/>
      <x:c r="K11" s="72"/>
      <x:c r="L11" s="72"/>
      <x:c r="M11" s="72"/>
      <x:c r="N11" s="72"/>
    </x:row>
    <x:row r="12" ht="22" customHeight="1">
      <x:c r="A12" s="10" t="str">
        <x:v>Priority thresholds</x:v>
      </x:c>
      <x:c r="B12" s="10"/>
      <x:c r="C12" s="72"/>
      <x:c r="D12" s="72"/>
      <x:c r="E12" s="72"/>
      <x:c r="F12" s="72"/>
      <x:c r="G12" s="72"/>
      <x:c r="H12" s="72"/>
      <x:c r="I12" s="26" t="str">
        <x:v>Other</x:v>
      </x:c>
      <x:c r="J12" s="72"/>
      <x:c r="K12" s="72"/>
      <x:c r="L12" s="72"/>
      <x:c r="M12" s="72"/>
      <x:c r="N12" s="72"/>
    </x:row>
    <x:row r="13">
      <x:c r="A13" s="15" t="str">
        <x:v>P1 minimum</x:v>
      </x:c>
      <x:c r="B13" s="24" t="n">
        <x:v>4</x:v>
      </x:c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</x:row>
    <x:row r="14">
      <x:c r="A14" s="15" t="str">
        <x:v>P2 minimum</x:v>
      </x:c>
      <x:c r="B14" s="24" t="n">
        <x:v>3.2</x:v>
      </x:c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</x:row>
    <x:row r="15">
      <x:c r="A15" s="15" t="str">
        <x:v>P3 minimum</x:v>
      </x:c>
      <x:c r="B15" s="24" t="n">
        <x:v>2.4</x:v>
      </x:c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</x:row>
    <x:row r="17" ht="22" customHeight="1">
      <x:c r="A17" s="10" t="str">
        <x:v>Contracted limits</x:v>
      </x:c>
      <x:c r="B17" s="10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</x:row>
    <x:row r="18">
      <x:c r="A18" s="15" t="str">
        <x:v>Maximum documents</x:v>
      </x:c>
      <x:c r="B18" s="26" t="n">
        <x:v>5</x:v>
      </x:c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</x:row>
    <x:row r="19">
      <x:c r="A19" s="15" t="str">
        <x:v>Maximum pages</x:v>
      </x:c>
      <x:c r="B19" s="26" t="n">
        <x:v>50</x:v>
      </x:c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</x:row>
  </x:sheetData>
  <x:mergeCells>
    <x:mergeCell ref="A1:H1"/>
    <x:mergeCell ref="A2:H2"/>
    <x:mergeCell ref="A4:B4"/>
    <x:mergeCell ref="A12:B12"/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42" hidden="0" customWidth="1"/>
    <x:col min="4" max="4" width="20" hidden="0" customWidth="1"/>
    <x:col min="5" max="5" width="28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0" customHeight="1">
      <x:c r="A1" s="3" t="str">
        <x:v>Heutrix Workflow Diagnostic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Working workbook for fit, evidence, mapping, analysis, quality and closeout.</x:v>
      </x:c>
      <x:c r="B2" s="7"/>
      <x:c r="C2" s="7"/>
      <x:c r="D2" s="7"/>
      <x:c r="E2" s="7"/>
      <x:c r="F2" s="7"/>
      <x:c r="G2" s="7"/>
      <x:c r="H2" s="7"/>
    </x:row>
    <x:row r="3">
      <x:c r="A3" s="72"/>
      <x:c r="B3" s="72"/>
      <x:c r="C3" s="72"/>
      <x:c r="D3" s="72"/>
      <x:c r="E3" s="72"/>
      <x:c r="F3" s="72"/>
      <x:c r="G3" s="72"/>
      <x:c r="H3" s="72"/>
    </x:row>
    <x:row r="4" ht="32" customHeight="1">
      <x:c r="A4" s="38" t="str">
        <x:v>Use role names and non-identifying examples. Do not enter patient, participant, worker, credential or other sensitive details. The default Diagnostic permits redacted, de-identified or synthetic material only.</x:v>
      </x:c>
      <x:c r="B4" s="39"/>
      <x:c r="C4" s="39"/>
      <x:c r="D4" s="39"/>
      <x:c r="E4" s="39"/>
      <x:c r="F4" s="39"/>
      <x:c r="G4" s="39"/>
      <x:c r="H4" s="40"/>
    </x:row>
    <x:row r="5">
      <x:c r="A5" s="72"/>
      <x:c r="B5" s="72"/>
      <x:c r="C5" s="72"/>
      <x:c r="D5" s="72"/>
      <x:c r="E5" s="72"/>
      <x:c r="F5" s="72"/>
      <x:c r="G5" s="72"/>
      <x:c r="H5" s="72"/>
    </x:row>
    <x:row r="6" ht="22" customHeight="1">
      <x:c r="A6" s="10" t="str">
        <x:v>Project snapshot</x:v>
      </x:c>
      <x:c r="B6" s="10"/>
      <x:c r="C6" s="10"/>
      <x:c r="D6" s="10"/>
      <x:c r="E6" s="72"/>
      <x:c r="F6" s="72"/>
      <x:c r="G6" s="72"/>
      <x:c r="H6" s="72"/>
    </x:row>
    <x:row r="7">
      <x:c r="A7" s="41" t="str">
        <x:v>Client</x:v>
      </x:c>
      <x:c r="B7" s="26" t="str">
        <x:f>IF('Engagement Setup'!B7="","",'Engagement Setup'!B7)</x:f>
      </x:c>
      <x:c r="C7" s="72"/>
      <x:c r="D7" s="72"/>
      <x:c r="E7" s="72"/>
      <x:c r="F7" s="72"/>
      <x:c r="G7" s="72"/>
      <x:c r="H7" s="72"/>
    </x:row>
    <x:row r="8">
      <x:c r="A8" s="41" t="str">
        <x:v>Project ID</x:v>
      </x:c>
      <x:c r="B8" s="26" t="str">
        <x:f>IF('Engagement Setup'!B8="","",'Engagement Setup'!B8)</x:f>
      </x:c>
      <x:c r="C8" s="72"/>
      <x:c r="D8" s="72"/>
      <x:c r="E8" s="72"/>
      <x:c r="F8" s="72"/>
      <x:c r="G8" s="72"/>
      <x:c r="H8" s="72"/>
    </x:row>
    <x:row r="9">
      <x:c r="A9" s="41" t="str">
        <x:v>Workflow</x:v>
      </x:c>
      <x:c r="B9" s="26" t="str">
        <x:f>IF('Engagement Setup'!B9="","",'Engagement Setup'!B9)</x:f>
      </x:c>
      <x:c r="C9" s="72"/>
      <x:c r="D9" s="72"/>
      <x:c r="E9" s="72"/>
      <x:c r="F9" s="72"/>
      <x:c r="G9" s="72"/>
      <x:c r="H9" s="72"/>
    </x:row>
    <x:row r="10">
      <x:c r="A10" s="41" t="str">
        <x:v>Workflow boundary</x:v>
      </x:c>
      <x:c r="B10" s="26" t="str">
        <x:f>IF(LEN('Engagement Setup'!B10&amp;'Engagement Setup'!B11)=0,"",'Engagement Setup'!B10&amp;" to "&amp;'Engagement Setup'!B11)</x:f>
      </x:c>
      <x:c r="C10" s="72"/>
      <x:c r="D10" s="72"/>
      <x:c r="E10" s="72"/>
      <x:c r="F10" s="72"/>
      <x:c r="G10" s="72"/>
      <x:c r="H10" s="72"/>
    </x:row>
    <x:row r="11">
      <x:c r="A11" s="41" t="str">
        <x:v>Engagement Lead</x:v>
      </x:c>
      <x:c r="B11" s="26" t="str">
        <x:f>IF('Engagement Setup'!B14="","",'Engagement Setup'!B14)</x:f>
      </x:c>
      <x:c r="C11" s="72"/>
      <x:c r="D11" s="72"/>
      <x:c r="E11" s="72"/>
      <x:c r="F11" s="72"/>
      <x:c r="G11" s="72"/>
      <x:c r="H11" s="72"/>
    </x:row>
    <x:row r="12">
      <x:c r="A12" s="41" t="str">
        <x:v>Fit decision</x:v>
      </x:c>
      <x:c r="B12" s="26" t="str">
        <x:f>'Fit Call'!B27</x:f>
        <x:v>NOT ASSESSED</x:v>
      </x:c>
      <x:c r="C12" s="72"/>
      <x:c r="D12" s="72"/>
      <x:c r="E12" s="72"/>
      <x:c r="F12" s="72"/>
      <x:c r="G12" s="72"/>
      <x:c r="H12" s="72"/>
    </x:row>
    <x:row r="13">
      <x:c r="A13" s="72"/>
      <x:c r="B13" s="72"/>
      <x:c r="C13" s="72"/>
      <x:c r="D13" s="72"/>
      <x:c r="E13" s="72"/>
      <x:c r="F13" s="72"/>
      <x:c r="G13" s="72"/>
      <x:c r="H13" s="72"/>
    </x:row>
    <x:row r="14" ht="22" customHeight="1">
      <x:c r="A14" s="10" t="str">
        <x:v>How to use this workbook</x:v>
      </x:c>
      <x:c r="B14" s="10"/>
      <x:c r="C14" s="10"/>
      <x:c r="D14" s="10"/>
      <x:c r="E14" s="10"/>
      <x:c r="F14" s="10"/>
      <x:c r="G14" s="10"/>
      <x:c r="H14" s="10"/>
    </x:row>
    <x:row r="15" ht="30" customHeight="1">
      <x:c r="A15" s="45" t="str">
        <x:v>Step</x:v>
      </x:c>
      <x:c r="B15" s="45" t="str">
        <x:v>Sheet</x:v>
      </x:c>
      <x:c r="C15" s="45" t="str">
        <x:v>Purpose</x:v>
      </x:c>
      <x:c r="D15" s="45" t="str">
        <x:v>Owner</x:v>
      </x:c>
      <x:c r="E15" s="45" t="str">
        <x:v>Gate / output</x:v>
      </x:c>
      <x:c r="F15" s="45" t="str"/>
      <x:c r="G15" s="45" t="str"/>
      <x:c r="H15" s="45" t="str"/>
    </x:row>
    <x:row r="16">
      <x:c r="A16" s="15" t="str">
        <x:v>1</x:v>
      </x:c>
      <x:c r="B16" s="15" t="str">
        <x:v>Fit Call</x:v>
      </x:c>
      <x:c r="C16" s="46" t="str">
        <x:v>Record high-level qualification and the proceed / clarify / no-go decision.</x:v>
      </x:c>
      <x:c r="D16" s="46" t="str">
        <x:v>Commercial Lead</x:v>
      </x:c>
      <x:c r="E16" s="46" t="str">
        <x:v>All gates assessed; no unresolved No-Go.</x:v>
      </x:c>
      <x:c r="F16" s="46" t="str"/>
      <x:c r="G16" s="46" t="str"/>
      <x:c r="H16" s="46" t="str"/>
    </x:row>
    <x:row r="17">
      <x:c r="A17" s="15" t="str">
        <x:v>2</x:v>
      </x:c>
      <x:c r="B17" s="15" t="str">
        <x:v>Engagement Setup</x:v>
      </x:c>
      <x:c r="C17" s="46" t="str">
        <x:v>Copy signed scope, roles, dates and data settings.</x:v>
      </x:c>
      <x:c r="D17" s="46" t="str">
        <x:v>Engagement Lead</x:v>
      </x:c>
      <x:c r="E17" s="46" t="str">
        <x:v>Contract, payment, owner and repository confirmed.</x:v>
      </x:c>
      <x:c r="F17" s="46" t="str"/>
      <x:c r="G17" s="46" t="str"/>
      <x:c r="H17" s="46" t="str"/>
    </x:row>
    <x:row r="18">
      <x:c r="A18" s="15" t="str">
        <x:v>3</x:v>
      </x:c>
      <x:c r="B18" s="15" t="str">
        <x:v>Evidence Register</x:v>
      </x:c>
      <x:c r="C18" s="46" t="str">
        <x:v>Control the five-document / 50-page review and evidence traceability.</x:v>
      </x:c>
      <x:c r="D18" s="46" t="str">
        <x:v>Analyst</x:v>
      </x:c>
      <x:c r="E18" s="46" t="str">
        <x:v>Within limit; approved handling only.</x:v>
      </x:c>
      <x:c r="F18" s="46" t="str"/>
      <x:c r="G18" s="46" t="str"/>
      <x:c r="H18" s="46" t="str"/>
    </x:row>
    <x:row r="19">
      <x:c r="A19" s="15" t="str">
        <x:v>4</x:v>
      </x:c>
      <x:c r="B19" s="15" t="str">
        <x:v>Current State</x:v>
      </x:c>
      <x:c r="C19" s="46" t="str">
        <x:v>Capture the normal path, decisions, handovers, controls and linked evidence.</x:v>
      </x:c>
      <x:c r="D19" s="46" t="str">
        <x:v>Analyst</x:v>
      </x:c>
      <x:c r="E19" s="46" t="str">
        <x:v>Facts validated by Client Project Owner.</x:v>
      </x:c>
      <x:c r="F19" s="46" t="str"/>
      <x:c r="G19" s="46" t="str"/>
      <x:c r="H19" s="46" t="str"/>
    </x:row>
    <x:row r="20">
      <x:c r="A20" s="15" t="str">
        <x:v>5</x:v>
      </x:c>
      <x:c r="B20" s="15" t="str">
        <x:v>Pain &amp; Root Causes</x:v>
      </x:c>
      <x:c r="C20" s="46" t="str">
        <x:v>Connect pain points to steps, evidence, impacts and root-cause hypotheses.</x:v>
      </x:c>
      <x:c r="D20" s="46" t="str">
        <x:v>Analyst</x:v>
      </x:c>
      <x:c r="E20" s="46" t="str">
        <x:v>Confidence and open questions explicit.</x:v>
      </x:c>
      <x:c r="F20" s="46" t="str"/>
      <x:c r="G20" s="46" t="str"/>
      <x:c r="H20" s="46" t="str"/>
    </x:row>
    <x:row r="21">
      <x:c r="A21" s="15" t="str">
        <x:v>6</x:v>
      </x:c>
      <x:c r="B21" s="15" t="str">
        <x:v>Opportunity Scoring</x:v>
      </x:c>
      <x:c r="C21" s="46" t="str">
        <x:v>Prioritise distinct changes using visible weights and judgement.</x:v>
      </x:c>
      <x:c r="D21" s="46" t="str">
        <x:v>Engagement Lead</x:v>
      </x:c>
      <x:c r="E21" s="46" t="str">
        <x:v>Dependencies and control gates recorded.</x:v>
      </x:c>
      <x:c r="F21" s="46" t="str"/>
      <x:c r="G21" s="46" t="str"/>
      <x:c r="H21" s="46" t="str"/>
    </x:row>
    <x:row r="22">
      <x:c r="A22" s="15" t="str">
        <x:v>7</x:v>
      </x:c>
      <x:c r="B22" s="15" t="str">
        <x:v>Future State</x:v>
      </x:c>
      <x:c r="C22" s="46" t="str">
        <x:v>Define changed steps, ownership, controls and measures.</x:v>
      </x:c>
      <x:c r="D22" s="46" t="str">
        <x:v>Engagement Lead</x:v>
      </x:c>
      <x:c r="E22" s="46" t="str">
        <x:v>Future state addresses findings and remains practical.</x:v>
      </x:c>
      <x:c r="F22" s="46" t="str"/>
      <x:c r="G22" s="46" t="str"/>
      <x:c r="H22" s="46" t="str"/>
    </x:row>
    <x:row r="23">
      <x:c r="A23" s="15" t="str">
        <x:v>8</x:v>
      </x:c>
      <x:c r="B23" s="15" t="str">
        <x:v>RAID &amp; Decisions</x:v>
      </x:c>
      <x:c r="C23" s="46" t="str">
        <x:v>Maintain one risk, assumption, issue and decision trail.</x:v>
      </x:c>
      <x:c r="D23" s="46" t="str">
        <x:v>Engagement Lead</x:v>
      </x:c>
      <x:c r="E23" s="46" t="str">
        <x:v>Material open items have owners and due dates.</x:v>
      </x:c>
      <x:c r="F23" s="46" t="str"/>
      <x:c r="G23" s="46" t="str"/>
      <x:c r="H23" s="46" t="str"/>
    </x:row>
    <x:row r="24">
      <x:c r="A24" s="15" t="str">
        <x:v>9</x:v>
      </x:c>
      <x:c r="B24" s="15" t="str">
        <x:v>Deliverables QA</x:v>
      </x:c>
      <x:c r="C24" s="46" t="str">
        <x:v>Check scope, evidence, consistency, privacy and acceptance criteria.</x:v>
      </x:c>
      <x:c r="D24" s="46" t="str">
        <x:v>Quality Reviewer</x:v>
      </x:c>
      <x:c r="E24" s="46" t="str">
        <x:v>Required checks complete before client issue.</x:v>
      </x:c>
      <x:c r="F24" s="46" t="str"/>
      <x:c r="G24" s="46" t="str"/>
      <x:c r="H24" s="46" t="str"/>
    </x:row>
    <x:row r="25">
      <x:c r="A25" s="15" t="str">
        <x:v>10</x:v>
      </x:c>
      <x:c r="B25" s="15" t="str">
        <x:v>Closeout</x:v>
      </x:c>
      <x:c r="C25" s="46" t="str">
        <x:v>Record correction, acceptance, handover, access removal and data disposition.</x:v>
      </x:c>
      <x:c r="D25" s="46" t="str">
        <x:v>Engagement Lead</x:v>
      </x:c>
      <x:c r="E25" s="46" t="str">
        <x:v>Project securely closed.</x:v>
      </x:c>
      <x:c r="F25" s="46" t="str"/>
      <x:c r="G25" s="46" t="str"/>
      <x:c r="H25" s="46" t="str"/>
    </x:row>
  </x:sheetData>
  <x:mergeCells>
    <x:mergeCell ref="A1:H1"/>
    <x:mergeCell ref="A2:H2"/>
    <x:mergeCell ref="A4:H4"/>
    <x:mergeCell ref="A6:D6"/>
    <x:mergeCell ref="A14:H14"/>
    <x:mergeCell ref="C15:H15"/>
    <x:mergeCell ref="E16:H16"/>
    <x:mergeCell ref="E17:H17"/>
    <x:mergeCell ref="E18:H18"/>
    <x:mergeCell ref="E19:H19"/>
    <x:mergeCell ref="E20:H20"/>
    <x:mergeCell ref="E21:H21"/>
    <x:mergeCell ref="E22:H22"/>
    <x:mergeCell ref="E23:H23"/>
    <x:mergeCell ref="E24:H24"/>
    <x:mergeCell ref="E25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3" hidden="0" customWidth="1"/>
    <x:col min="3" max="3" width="33" hidden="0" customWidth="1"/>
    <x:col min="4" max="4" width="38" hidden="0" customWidth="1"/>
    <x:col min="5" max="5" width="22" hidden="0" customWidth="1"/>
  </x:cols>
  <x:sheetData>
    <x:row r="1" ht="30" customHeight="1">
      <x:c r="A1" s="3" t="str">
        <x:v>Fit Call Record</x:v>
      </x:c>
      <x:c r="B1" s="3"/>
      <x:c r="C1" s="3"/>
      <x:c r="D1" s="3"/>
      <x:c r="E1" s="3"/>
    </x:row>
    <x:row r="2" ht="27" customHeight="1">
      <x:c r="A2" s="7" t="str">
        <x:v>Thirty-minute qualification record. Complete at a high level and keep examples non-identifying.</x:v>
      </x:c>
      <x:c r="B2" s="7"/>
      <x:c r="C2" s="7"/>
      <x:c r="D2" s="7"/>
      <x:c r="E2" s="7"/>
    </x:row>
    <x:row r="3">
      <x:c r="A3" s="72"/>
      <x:c r="B3" s="72"/>
      <x:c r="C3" s="72"/>
      <x:c r="D3" s="72"/>
      <x:c r="E3" s="72"/>
    </x:row>
    <x:row r="4" ht="32" customHeight="1">
      <x:c r="A4" s="55" t="str">
        <x:v>This is not a free mini-diagnostic. Record enough to make a fit decision; do not map the full workflow or design a solution on the call.</x:v>
      </x:c>
      <x:c r="B4" s="56"/>
      <x:c r="C4" s="56"/>
      <x:c r="D4" s="56"/>
      <x:c r="E4" s="57"/>
    </x:row>
    <x:row r="5">
      <x:c r="A5" s="72"/>
      <x:c r="B5" s="72"/>
      <x:c r="C5" s="72"/>
      <x:c r="D5" s="72"/>
      <x:c r="E5" s="72"/>
    </x:row>
    <x:row r="6" ht="22" customHeight="1">
      <x:c r="A6" s="10" t="str">
        <x:v>Call details</x:v>
      </x:c>
      <x:c r="B6" s="10"/>
      <x:c r="C6" s="72"/>
      <x:c r="D6" s="72"/>
      <x:c r="E6" s="72"/>
    </x:row>
    <x:row r="7">
      <x:c r="A7" s="41" t="str">
        <x:v>Lead ID</x:v>
      </x:c>
      <x:c r="B7" s="62" t="str"/>
      <x:c r="C7" s="72"/>
      <x:c r="D7" s="72"/>
      <x:c r="E7" s="72"/>
    </x:row>
    <x:row r="8">
      <x:c r="A8" s="41" t="str">
        <x:v>Call date</x:v>
      </x:c>
      <x:c r="B8" s="63" t="str"/>
      <x:c r="C8" s="72"/>
      <x:c r="D8" s="72"/>
      <x:c r="E8" s="72"/>
    </x:row>
    <x:row r="9">
      <x:c r="A9" s="41" t="str">
        <x:v>Organisation</x:v>
      </x:c>
      <x:c r="B9" s="62" t="str"/>
      <x:c r="C9" s="72"/>
      <x:c r="D9" s="72"/>
      <x:c r="E9" s="72"/>
    </x:row>
    <x:row r="10">
      <x:c r="A10" s="41" t="str">
        <x:v>Contact / role</x:v>
      </x:c>
      <x:c r="B10" s="62" t="str"/>
      <x:c r="C10" s="72"/>
      <x:c r="D10" s="72"/>
      <x:c r="E10" s="72"/>
    </x:row>
    <x:row r="11">
      <x:c r="A11" s="41" t="str">
        <x:v>Problem in one sentence</x:v>
      </x:c>
      <x:c r="B11" s="62" t="str"/>
      <x:c r="C11" s="72"/>
      <x:c r="D11" s="72"/>
      <x:c r="E11" s="72"/>
    </x:row>
    <x:row r="12">
      <x:c r="A12" s="41" t="str">
        <x:v>Workflow</x:v>
      </x:c>
      <x:c r="B12" s="62" t="str"/>
      <x:c r="C12" s="72"/>
      <x:c r="D12" s="72"/>
      <x:c r="E12" s="72"/>
    </x:row>
    <x:row r="13">
      <x:c r="A13" s="41" t="str">
        <x:v>Likely start</x:v>
      </x:c>
      <x:c r="B13" s="62" t="str"/>
      <x:c r="C13" s="72"/>
      <x:c r="D13" s="72"/>
      <x:c r="E13" s="72"/>
    </x:row>
    <x:row r="14">
      <x:c r="A14" s="41" t="str">
        <x:v>Likely end</x:v>
      </x:c>
      <x:c r="B14" s="62" t="str"/>
      <x:c r="C14" s="72"/>
      <x:c r="D14" s="72"/>
      <x:c r="E14" s="72"/>
    </x:row>
    <x:row r="15">
      <x:c r="A15" s="41" t="str">
        <x:v>Project owner / authority</x:v>
      </x:c>
      <x:c r="B15" s="62" t="str"/>
      <x:c r="C15" s="72"/>
      <x:c r="D15" s="72"/>
      <x:c r="E15" s="72"/>
    </x:row>
    <x:row r="16">
      <x:c r="A16" s="72"/>
      <x:c r="B16" s="72"/>
      <x:c r="C16" s="72"/>
      <x:c r="D16" s="72"/>
      <x:c r="E16" s="72"/>
    </x:row>
    <x:row r="17" ht="22" customHeight="1">
      <x:c r="A17" s="10" t="str">
        <x:v>Decision gates</x:v>
      </x:c>
      <x:c r="B17" s="10"/>
      <x:c r="C17" s="10"/>
      <x:c r="D17" s="10"/>
      <x:c r="E17" s="10"/>
    </x:row>
    <x:row r="18" ht="30" customHeight="1">
      <x:c r="A18" s="45" t="str">
        <x:v>Gate</x:v>
      </x:c>
      <x:c r="B18" s="45" t="str">
        <x:v>Proceed test</x:v>
      </x:c>
      <x:c r="C18" s="45" t="str">
        <x:v>Clarify when</x:v>
      </x:c>
      <x:c r="D18" s="45" t="str">
        <x:v>No-Go when</x:v>
      </x:c>
      <x:c r="E18" s="45" t="str">
        <x:v>Result</x:v>
      </x:c>
    </x:row>
    <x:row r="19">
      <x:c r="A19" s="15" t="str">
        <x:v>Operational problem</x:v>
      </x:c>
      <x:c r="B19" s="46" t="str">
        <x:v>Real workflow problem described.</x:v>
      </x:c>
      <x:c r="C19" s="46" t="str">
        <x:v>Problem is vague but discoverable.</x:v>
      </x:c>
      <x:c r="D19" s="46" t="str">
        <x:v>Only software, staff replacement or predetermined build requested.</x:v>
      </x:c>
      <x:c r="E19" s="62" t="str"/>
    </x:row>
    <x:row r="20">
      <x:c r="A20" s="15" t="str">
        <x:v>One workflow</x:v>
      </x:c>
      <x:c r="B20" s="46" t="str">
        <x:v>Start, end and owner can be named.</x:v>
      </x:c>
      <x:c r="C20" s="46" t="str">
        <x:v>Boundary needs one clarification.</x:v>
      </x:c>
      <x:c r="D20" s="46" t="str">
        <x:v>Broad transformation or multiple workflows expected.</x:v>
      </x:c>
      <x:c r="E20" s="62" t="str"/>
    </x:row>
    <x:row r="21">
      <x:c r="A21" s="15" t="str">
        <x:v>Evidence</x:v>
      </x:c>
      <x:c r="B21" s="46" t="str">
        <x:v>Non-identifying evidence and participants available.</x:v>
      </x:c>
      <x:c r="C21" s="46" t="str">
        <x:v>Availability unconfirmed.</x:v>
      </x:c>
      <x:c r="D21" s="46" t="str">
        <x:v>Useful work requires unapproved identifying or sensitive data.</x:v>
      </x:c>
      <x:c r="E21" s="62" t="str"/>
    </x:row>
    <x:row r="22">
      <x:c r="A22" s="15" t="str">
        <x:v>Expected output</x:v>
      </x:c>
      <x:c r="B22" s="46" t="str">
        <x:v>Maps, findings and options support a decision.</x:v>
      </x:c>
      <x:c r="C22" s="46" t="str">
        <x:v>Client needs boundary explanation.</x:v>
      </x:c>
      <x:c r="D22" s="46" t="str">
        <x:v>Implementation, guarantee or compliance conclusion expected.</x:v>
      </x:c>
      <x:c r="E22" s="62" t="str"/>
    </x:row>
    <x:row r="23">
      <x:c r="A23" s="15" t="str">
        <x:v>Authority</x:v>
      </x:c>
      <x:c r="B23" s="46" t="str">
        <x:v>Owner and budget authority known.</x:v>
      </x:c>
      <x:c r="C23" s="46" t="str">
        <x:v>Approver or owner to confirm.</x:v>
      </x:c>
      <x:c r="D23" s="46" t="str">
        <x:v>No accountable owner or approval path.</x:v>
      </x:c>
      <x:c r="E23" s="62" t="str"/>
    </x:row>
    <x:row r="24">
      <x:c r="A24" s="15" t="str">
        <x:v>Service boundary</x:v>
      </x:c>
      <x:c r="B24" s="46" t="str">
        <x:v>Operational workflow improvement.</x:v>
      </x:c>
      <x:c r="C24" s="46" t="str">
        <x:v>Can be narrowed in writing.</x:v>
      </x:c>
      <x:c r="D24" s="46" t="str">
        <x:v>Regulated advice, audit or assurance required.</x:v>
      </x:c>
      <x:c r="E24" s="62" t="str"/>
    </x:row>
    <x:row r="25">
      <x:c r="A25" s="72"/>
      <x:c r="B25" s="72"/>
      <x:c r="C25" s="72"/>
      <x:c r="D25" s="72"/>
      <x:c r="E25" s="72"/>
    </x:row>
    <x:row r="26">
      <x:c r="A26" s="72"/>
      <x:c r="B26" s="72"/>
      <x:c r="C26" s="72"/>
      <x:c r="D26" s="72"/>
      <x:c r="E26" s="72"/>
    </x:row>
    <x:row r="27" ht="26" customHeight="1">
      <x:c r="A27" s="74" t="str">
        <x:v>Decision</x:v>
      </x:c>
      <x:c r="B27" s="68" t="str">
        <x:f>IF(COUNTIF(E19:E24,"Proceed")+COUNTIF(E19:E24,"Clarify")+COUNTIF(E19:E24,"No-Go")=0,"NOT ASSESSED",IF(COUNTIF(E19:E24,"No-Go")&gt;0,"DO NOT PROCEED",IF(COUNTIF(E19:E24,"Clarify")&gt;0,"CLARIFY BEFORE OFFER",IF(COUNTIF(E19:E24,"Proceed")=ROWS(E19:E24),"PROCEED TO DIAGNOSTIC","COMPLETE ASSESSMENT"))))</x:f>
        <x:v>NOT ASSESSED</x:v>
      </x:c>
      <x:c r="C27" s="68"/>
      <x:c r="D27" s="68"/>
      <x:c r="E27" s="68"/>
    </x:row>
    <x:row r="28">
      <x:c r="A28" s="72"/>
      <x:c r="B28" s="72"/>
      <x:c r="C28" s="72"/>
      <x:c r="D28" s="72"/>
      <x:c r="E28" s="72"/>
    </x:row>
    <x:row r="29" ht="22" customHeight="1">
      <x:c r="A29" s="10" t="str">
        <x:v>Decision record</x:v>
      </x:c>
      <x:c r="B29" s="10"/>
      <x:c r="C29" s="72"/>
      <x:c r="D29" s="72"/>
      <x:c r="E29" s="72"/>
    </x:row>
    <x:row r="30">
      <x:c r="A30" s="41" t="str">
        <x:v>Decision reasons</x:v>
      </x:c>
      <x:c r="B30" s="62" t="str"/>
      <x:c r="C30" s="72"/>
      <x:c r="D30" s="72"/>
      <x:c r="E30" s="72"/>
    </x:row>
    <x:row r="31">
      <x:c r="A31" s="41" t="str">
        <x:v>Evidence / documents available</x:v>
      </x:c>
      <x:c r="B31" s="62" t="str"/>
      <x:c r="C31" s="72"/>
      <x:c r="D31" s="72"/>
      <x:c r="E31" s="72"/>
    </x:row>
    <x:row r="32">
      <x:c r="A32" s="41" t="str">
        <x:v>Data / access condition</x:v>
      </x:c>
      <x:c r="B32" s="62" t="str"/>
      <x:c r="C32" s="72"/>
      <x:c r="D32" s="72"/>
      <x:c r="E32" s="72"/>
    </x:row>
    <x:row r="33">
      <x:c r="A33" s="41" t="str">
        <x:v>Conditions to resolve</x:v>
      </x:c>
      <x:c r="B33" s="62" t="str"/>
      <x:c r="C33" s="72"/>
      <x:c r="D33" s="72"/>
      <x:c r="E33" s="72"/>
    </x:row>
    <x:row r="34">
      <x:c r="A34" s="41" t="str">
        <x:v>Next action / owner</x:v>
      </x:c>
      <x:c r="B34" s="62" t="str"/>
      <x:c r="C34" s="72"/>
      <x:c r="D34" s="72"/>
      <x:c r="E34" s="72"/>
    </x:row>
    <x:row r="35">
      <x:c r="A35" s="41" t="str">
        <x:v>Follow-up due</x:v>
      </x:c>
      <x:c r="B35" s="63" t="str"/>
      <x:c r="C35" s="72"/>
      <x:c r="D35" s="72"/>
      <x:c r="E35" s="72"/>
    </x:row>
  </x:sheetData>
  <x:mergeCells>
    <x:mergeCell ref="A1:E1"/>
    <x:mergeCell ref="A2:E2"/>
    <x:mergeCell ref="A4:E4"/>
    <x:mergeCell ref="A6:B6"/>
    <x:mergeCell ref="A17:E17"/>
    <x:mergeCell ref="B27:E27"/>
    <x:mergeCell ref="A29:B29"/>
  </x:mergeCells>
  <x:dataValidations count="1">
    <x:dataValidation type="list" sqref="E19:E24">
      <x:formula1>"Proceed,Clarify,No-Go"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2" hidden="0" customWidth="1"/>
    <x:col min="3" max="3" width="14" hidden="0" customWidth="1"/>
    <x:col min="4" max="4" width="14" hidden="0" customWidth="1"/>
  </x:cols>
  <x:sheetData>
    <x:row r="1" ht="30" customHeight="1">
      <x:c r="A1" s="3" t="str">
        <x:v>Engagement Setup</x:v>
      </x:c>
      <x:c r="B1" s="3"/>
      <x:c r="C1" s="3"/>
      <x:c r="D1" s="3"/>
    </x:row>
    <x:row r="2" ht="27" customHeight="1">
      <x:c r="A2" s="7" t="str">
        <x:v>Copy the signed commercial scope and approved data settings. The signed documents control.</x:v>
      </x:c>
      <x:c r="B2" s="7"/>
      <x:c r="C2" s="7"/>
      <x:c r="D2" s="7"/>
    </x:row>
    <x:row r="3">
      <x:c r="A3" s="72"/>
      <x:c r="B3" s="72"/>
      <x:c r="C3" s="72"/>
      <x:c r="D3" s="72"/>
    </x:row>
    <x:row r="4" ht="32" customHeight="1">
      <x:c r="A4" s="38" t="str">
        <x:v>Do not start paid work, accept client inputs or access a system until the contract, payment and data-handling gates are complete.</x:v>
      </x:c>
      <x:c r="B4" s="39"/>
      <x:c r="C4" s="39"/>
      <x:c r="D4" s="40"/>
    </x:row>
    <x:row r="5">
      <x:c r="A5" s="72"/>
      <x:c r="B5" s="72"/>
      <x:c r="C5" s="72"/>
      <x:c r="D5" s="72"/>
    </x:row>
    <x:row r="6" ht="22" customHeight="1">
      <x:c r="A6" s="10" t="str">
        <x:v>Contract and scope</x:v>
      </x:c>
      <x:c r="B6" s="10"/>
      <x:c r="C6" s="72"/>
      <x:c r="D6" s="72"/>
    </x:row>
    <x:row r="7">
      <x:c r="A7" s="41" t="str">
        <x:v>Client legal name</x:v>
      </x:c>
      <x:c r="B7" s="62" t="str"/>
      <x:c r="C7" s="72"/>
      <x:c r="D7" s="72"/>
    </x:row>
    <x:row r="8">
      <x:c r="A8" s="41" t="str">
        <x:v>Project ID</x:v>
      </x:c>
      <x:c r="B8" s="62" t="str"/>
      <x:c r="C8" s="72"/>
      <x:c r="D8" s="72"/>
    </x:row>
    <x:row r="9">
      <x:c r="A9" s="41" t="str">
        <x:v>Workflow in scope</x:v>
      </x:c>
      <x:c r="B9" s="62" t="str"/>
      <x:c r="C9" s="72"/>
      <x:c r="D9" s="72"/>
    </x:row>
    <x:row r="10">
      <x:c r="A10" s="41" t="str">
        <x:v>Workflow start</x:v>
      </x:c>
      <x:c r="B10" s="62" t="str"/>
      <x:c r="C10" s="72"/>
      <x:c r="D10" s="72"/>
    </x:row>
    <x:row r="11">
      <x:c r="A11" s="41" t="str">
        <x:v>Workflow end</x:v>
      </x:c>
      <x:c r="B11" s="62" t="str"/>
      <x:c r="C11" s="72"/>
      <x:c r="D11" s="72"/>
    </x:row>
    <x:row r="12">
      <x:c r="A12" s="41" t="str">
        <x:v>Explicit exclusions</x:v>
      </x:c>
      <x:c r="B12" s="62" t="str"/>
      <x:c r="C12" s="72"/>
      <x:c r="D12" s="72"/>
    </x:row>
    <x:row r="13">
      <x:c r="A13" s="41" t="str">
        <x:v>Client Project Owner</x:v>
      </x:c>
      <x:c r="B13" s="62" t="str"/>
      <x:c r="C13" s="72"/>
      <x:c r="D13" s="72"/>
    </x:row>
    <x:row r="14">
      <x:c r="A14" s="41" t="str">
        <x:v>Heutrix Engagement Lead</x:v>
      </x:c>
      <x:c r="B14" s="62" t="str"/>
      <x:c r="C14" s="72"/>
      <x:c r="D14" s="72"/>
    </x:row>
    <x:row r="15">
      <x:c r="A15" s="41" t="str">
        <x:v>Analyst</x:v>
      </x:c>
      <x:c r="B15" s="62" t="str"/>
      <x:c r="C15" s="72"/>
      <x:c r="D15" s="72"/>
    </x:row>
    <x:row r="16">
      <x:c r="A16" s="41" t="str">
        <x:v>Quality Reviewer</x:v>
      </x:c>
      <x:c r="B16" s="62" t="str"/>
      <x:c r="C16" s="72"/>
      <x:c r="D16" s="72"/>
    </x:row>
    <x:row r="17">
      <x:c r="A17" s="41" t="str">
        <x:v>Privacy / Security Reviewer</x:v>
      </x:c>
      <x:c r="B17" s="62" t="str"/>
      <x:c r="C17" s="72"/>
      <x:c r="D17" s="72"/>
    </x:row>
    <x:row r="18">
      <x:c r="A18" s="41" t="str">
        <x:v>CSA / Order Form</x:v>
      </x:c>
      <x:c r="B18" s="62" t="str"/>
      <x:c r="C18" s="72"/>
      <x:c r="D18" s="72"/>
    </x:row>
    <x:row r="19">
      <x:c r="A19" s="41" t="str">
        <x:v>Payment cleared</x:v>
      </x:c>
      <x:c r="B19" s="62" t="str"/>
      <x:c r="C19" s="72"/>
      <x:c r="D19" s="72"/>
    </x:row>
    <x:row r="20">
      <x:c r="A20" s="72"/>
      <x:c r="B20" s="72"/>
      <x:c r="C20" s="72"/>
      <x:c r="D20" s="72"/>
    </x:row>
    <x:row r="21" ht="22" customHeight="1">
      <x:c r="A21" s="10" t="str">
        <x:v>Data, access and timing</x:v>
      </x:c>
      <x:c r="B21" s="10"/>
      <x:c r="C21" s="72"/>
      <x:c r="D21" s="72"/>
    </x:row>
    <x:row r="22">
      <x:c r="A22" s="41" t="str">
        <x:v>Approved repository</x:v>
      </x:c>
      <x:c r="B22" s="62" t="str"/>
      <x:c r="C22" s="72"/>
      <x:c r="D22" s="72"/>
    </x:row>
    <x:row r="23">
      <x:c r="A23" s="41" t="str">
        <x:v>Approved data class</x:v>
      </x:c>
      <x:c r="B23" s="62" t="str">
        <x:v>Confidential</x:v>
      </x:c>
      <x:c r="C23" s="72"/>
      <x:c r="D23" s="72"/>
    </x:row>
    <x:row r="24">
      <x:c r="A24" s="41" t="str">
        <x:v>Personal / sensitive information</x:v>
      </x:c>
      <x:c r="B24" s="62" t="str">
        <x:v>Not approved</x:v>
      </x:c>
      <x:c r="C24" s="72"/>
      <x:c r="D24" s="72"/>
    </x:row>
    <x:row r="25">
      <x:c r="A25" s="41" t="str">
        <x:v>Production access</x:v>
      </x:c>
      <x:c r="B25" s="62" t="str">
        <x:v>Not approved</x:v>
      </x:c>
      <x:c r="C25" s="72"/>
      <x:c r="D25" s="72"/>
    </x:row>
    <x:row r="26">
      <x:c r="A26" s="41" t="str">
        <x:v>Local download</x:v>
      </x:c>
      <x:c r="B26" s="62" t="str">
        <x:v>Not approved</x:v>
      </x:c>
      <x:c r="C26" s="72"/>
      <x:c r="D26" s="72"/>
    </x:row>
    <x:row r="27">
      <x:c r="A27" s="41" t="str">
        <x:v>AI use</x:v>
      </x:c>
      <x:c r="B27" s="62" t="str">
        <x:v>No client confidential information or client data in AI</x:v>
      </x:c>
      <x:c r="C27" s="72"/>
      <x:c r="D27" s="72"/>
    </x:row>
    <x:row r="28">
      <x:c r="A28" s="41" t="str">
        <x:v>Evidence due</x:v>
      </x:c>
      <x:c r="B28" s="63" t="str"/>
      <x:c r="C28" s="72"/>
      <x:c r="D28" s="72"/>
    </x:row>
    <x:row r="29">
      <x:c r="A29" s="41" t="str">
        <x:v>Workshop date</x:v>
      </x:c>
      <x:c r="B29" s="63" t="str"/>
      <x:c r="C29" s="72"/>
      <x:c r="D29" s="72"/>
    </x:row>
    <x:row r="30">
      <x:c r="A30" s="41" t="str">
        <x:v>Target draft date</x:v>
      </x:c>
      <x:c r="B30" s="63" t="str"/>
      <x:c r="C30" s="72"/>
      <x:c r="D30" s="72"/>
    </x:row>
    <x:row r="31">
      <x:c r="A31" s="41" t="str">
        <x:v>Findings presentation</x:v>
      </x:c>
      <x:c r="B31" s="63" t="str"/>
      <x:c r="C31" s="72"/>
      <x:c r="D31" s="72"/>
    </x:row>
    <x:row r="32">
      <x:c r="A32" s="41" t="str">
        <x:v>Client review due</x:v>
      </x:c>
      <x:c r="B32" s="63" t="str"/>
      <x:c r="C32" s="72"/>
      <x:c r="D32" s="72"/>
    </x:row>
    <x:row r="33">
      <x:c r="A33" s="41" t="str">
        <x:v>Access end date</x:v>
      </x:c>
      <x:c r="B33" s="63" t="str"/>
      <x:c r="C33" s="72"/>
      <x:c r="D33" s="72"/>
    </x:row>
    <x:row r="34">
      <x:c r="A34" s="41" t="str">
        <x:v>Data disposition due</x:v>
      </x:c>
      <x:c r="B34" s="63" t="str"/>
      <x:c r="C34" s="72"/>
      <x:c r="D34" s="72"/>
    </x:row>
  </x:sheetData>
  <x:mergeCells>
    <x:mergeCell ref="A1:D1"/>
    <x:mergeCell ref="A2:D2"/>
    <x:mergeCell ref="A4:D4"/>
    <x:mergeCell ref="A6:B6"/>
    <x:mergeCell ref="A21:B21"/>
  </x:mergeCells>
  <x:dataValidations count="1">
    <x:dataValidation type="list" sqref="B19">
      <x:formula1>"Yes,No,To confirm"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2" hidden="0" customWidth="1"/>
    <x:col min="4" max="4" width="16" hidden="0" customWidth="1"/>
    <x:col min="5" max="5" width="20" hidden="0" customWidth="1"/>
    <x:col min="6" max="6" width="19" hidden="0" customWidth="1"/>
    <x:col min="7" max="7" width="17" hidden="0" customWidth="1"/>
    <x:col min="8" max="8" width="18" hidden="0" customWidth="1"/>
    <x:col min="9" max="9" width="12" hidden="0" customWidth="1"/>
    <x:col min="10" max="10" width="28" hidden="0" customWidth="1"/>
    <x:col min="11" max="11" width="18" hidden="0" customWidth="1"/>
    <x:col min="12" max="12" width="28" hidden="0" customWidth="1"/>
    <x:col min="13" max="13" width="34" hidden="0" customWidth="1"/>
  </x:cols>
  <x:sheetData>
    <x:row r="1" ht="30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7" customHeight="1">
      <x:c r="A2" s="7" t="str">
        <x:v>One source of truth for the limited document review and finding traceability.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</x:row>
    <x:row r="4">
      <x:c r="A4" s="41" t="str">
        <x:v>Documents logged</x:v>
      </x:c>
      <x:c r="B4" s="26" t="n">
        <x:f>COUNTIF(C7:C31,"?*")</x:f>
        <x:v>0</x:v>
      </x:c>
      <x:c r="C4" s="72"/>
      <x:c r="D4" s="41" t="str">
        <x:v>Pages logged</x:v>
      </x:c>
      <x:c r="E4" s="26" t="n">
        <x:f>SUM(I7:I31)</x:f>
        <x:v>0</x:v>
      </x:c>
      <x:c r="F4" s="72"/>
      <x:c r="G4" s="41" t="str">
        <x:v>Scope status</x:v>
      </x:c>
      <x:c r="H4" s="26" t="str">
        <x:f>IF(B4=0,"NO EVIDENCE",IF(OR(B4&gt;'Lists &amp; Rules'!$B$18,E4&gt;'Lists &amp; Rules'!$B$19),"OUTSIDE CONTRACTED LIMIT","WITHIN LIMIT"))</x:f>
        <x:v>NO EVIDENCE</x:v>
      </x:c>
      <x:c r="I4" s="72"/>
      <x:c r="J4" s="72"/>
      <x:c r="K4" s="72"/>
      <x:c r="L4" s="72"/>
      <x:c r="M4" s="72"/>
    </x:row>
    <x:row r="5" ht="32" customHeight="1">
      <x:c r="A5" s="55" t="str">
        <x:v>Log only approved, relevant evidence. If the count exceeds five documents or 50 pages, pause the excess review and obtain a Change Request or a client-selected priority set.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7"/>
    </x:row>
    <x:row r="6" ht="30" customHeight="1">
      <x:c r="A6" s="45" t="str">
        <x:v>Evidence ID</x:v>
      </x:c>
      <x:c r="B6" s="45" t="str">
        <x:v>Source type</x:v>
      </x:c>
      <x:c r="C6" s="45" t="str">
        <x:v>Title / description</x:v>
      </x:c>
      <x:c r="D6" s="45" t="str">
        <x:v>Date / version</x:v>
      </x:c>
      <x:c r="E6" s="45" t="str">
        <x:v>Provided by role</x:v>
      </x:c>
      <x:c r="F6" s="45" t="str">
        <x:v>Data class</x:v>
      </x:c>
      <x:c r="G6" s="45" t="str">
        <x:v>Approval</x:v>
      </x:c>
      <x:c r="H6" s="45" t="str">
        <x:v>Handling status</x:v>
      </x:c>
      <x:c r="I6" s="45" t="str">
        <x:v>Page count</x:v>
      </x:c>
      <x:c r="J6" s="45" t="str">
        <x:v>Relevance</x:v>
      </x:c>
      <x:c r="K6" s="45" t="str">
        <x:v>Supports IDs</x:v>
      </x:c>
      <x:c r="L6" s="45" t="str">
        <x:v>Repository link</x:v>
      </x:c>
      <x:c r="M6" s="45" t="str">
        <x:v>Review notes</x:v>
      </x:c>
    </x:row>
    <x:row r="7">
      <x:c r="A7" s="41" t="str">
        <x:v>E-01</x:v>
      </x:c>
      <x:c r="B7" s="62" t="str"/>
      <x:c r="C7" s="62" t="str"/>
      <x:c r="D7" s="63" t="str"/>
      <x:c r="E7" s="62" t="str"/>
      <x:c r="F7" s="62" t="str"/>
      <x:c r="G7" s="62" t="str"/>
      <x:c r="H7" s="62" t="str">
        <x:v>Not Started</x:v>
      </x:c>
      <x:c r="I7" s="70" t="str"/>
      <x:c r="J7" s="62" t="str"/>
      <x:c r="K7" s="62" t="str"/>
      <x:c r="L7" s="62" t="str"/>
      <x:c r="M7" s="62" t="str"/>
    </x:row>
    <x:row r="8">
      <x:c r="A8" s="41" t="str">
        <x:v>E-02</x:v>
      </x:c>
      <x:c r="B8" s="62" t="str"/>
      <x:c r="C8" s="62" t="str"/>
      <x:c r="D8" s="63" t="str"/>
      <x:c r="E8" s="62" t="str"/>
      <x:c r="F8" s="62" t="str"/>
      <x:c r="G8" s="62" t="str"/>
      <x:c r="H8" s="62" t="str">
        <x:v>Not Started</x:v>
      </x:c>
      <x:c r="I8" s="70" t="str"/>
      <x:c r="J8" s="62" t="str"/>
      <x:c r="K8" s="62" t="str"/>
      <x:c r="L8" s="62" t="str"/>
      <x:c r="M8" s="62" t="str"/>
    </x:row>
    <x:row r="9">
      <x:c r="A9" s="41" t="str">
        <x:v>E-03</x:v>
      </x:c>
      <x:c r="B9" s="62" t="str"/>
      <x:c r="C9" s="62" t="str"/>
      <x:c r="D9" s="63" t="str"/>
      <x:c r="E9" s="62" t="str"/>
      <x:c r="F9" s="62" t="str"/>
      <x:c r="G9" s="62" t="str"/>
      <x:c r="H9" s="62" t="str">
        <x:v>Not Started</x:v>
      </x:c>
      <x:c r="I9" s="70" t="str"/>
      <x:c r="J9" s="62" t="str"/>
      <x:c r="K9" s="62" t="str"/>
      <x:c r="L9" s="62" t="str"/>
      <x:c r="M9" s="62" t="str"/>
    </x:row>
    <x:row r="10">
      <x:c r="A10" s="41" t="str">
        <x:v>E-04</x:v>
      </x:c>
      <x:c r="B10" s="62" t="str"/>
      <x:c r="C10" s="62" t="str"/>
      <x:c r="D10" s="63" t="str"/>
      <x:c r="E10" s="62" t="str"/>
      <x:c r="F10" s="62" t="str"/>
      <x:c r="G10" s="62" t="str"/>
      <x:c r="H10" s="62" t="str">
        <x:v>Not Started</x:v>
      </x:c>
      <x:c r="I10" s="70" t="str"/>
      <x:c r="J10" s="62" t="str"/>
      <x:c r="K10" s="62" t="str"/>
      <x:c r="L10" s="62" t="str"/>
      <x:c r="M10" s="62" t="str"/>
    </x:row>
    <x:row r="11">
      <x:c r="A11" s="41" t="str">
        <x:v>E-05</x:v>
      </x:c>
      <x:c r="B11" s="62" t="str"/>
      <x:c r="C11" s="62" t="str"/>
      <x:c r="D11" s="63" t="str"/>
      <x:c r="E11" s="62" t="str"/>
      <x:c r="F11" s="62" t="str"/>
      <x:c r="G11" s="62" t="str"/>
      <x:c r="H11" s="62" t="str">
        <x:v>Not Started</x:v>
      </x:c>
      <x:c r="I11" s="70" t="str"/>
      <x:c r="J11" s="62" t="str"/>
      <x:c r="K11" s="62" t="str"/>
      <x:c r="L11" s="62" t="str"/>
      <x:c r="M11" s="62" t="str"/>
    </x:row>
    <x:row r="12">
      <x:c r="A12" s="41" t="str">
        <x:v>E-06</x:v>
      </x:c>
      <x:c r="B12" s="62" t="str"/>
      <x:c r="C12" s="62" t="str"/>
      <x:c r="D12" s="63" t="str"/>
      <x:c r="E12" s="62" t="str"/>
      <x:c r="F12" s="62" t="str"/>
      <x:c r="G12" s="62" t="str"/>
      <x:c r="H12" s="62" t="str">
        <x:v>Not Started</x:v>
      </x:c>
      <x:c r="I12" s="70" t="str"/>
      <x:c r="J12" s="62" t="str"/>
      <x:c r="K12" s="62" t="str"/>
      <x:c r="L12" s="62" t="str"/>
      <x:c r="M12" s="62" t="str"/>
    </x:row>
    <x:row r="13">
      <x:c r="A13" s="41" t="str">
        <x:v>E-07</x:v>
      </x:c>
      <x:c r="B13" s="62" t="str"/>
      <x:c r="C13" s="62" t="str"/>
      <x:c r="D13" s="63" t="str"/>
      <x:c r="E13" s="62" t="str"/>
      <x:c r="F13" s="62" t="str"/>
      <x:c r="G13" s="62" t="str"/>
      <x:c r="H13" s="62" t="str">
        <x:v>Not Started</x:v>
      </x:c>
      <x:c r="I13" s="70" t="str"/>
      <x:c r="J13" s="62" t="str"/>
      <x:c r="K13" s="62" t="str"/>
      <x:c r="L13" s="62" t="str"/>
      <x:c r="M13" s="62" t="str"/>
    </x:row>
    <x:row r="14">
      <x:c r="A14" s="41" t="str">
        <x:v>E-08</x:v>
      </x:c>
      <x:c r="B14" s="62" t="str"/>
      <x:c r="C14" s="62" t="str"/>
      <x:c r="D14" s="63" t="str"/>
      <x:c r="E14" s="62" t="str"/>
      <x:c r="F14" s="62" t="str"/>
      <x:c r="G14" s="62" t="str"/>
      <x:c r="H14" s="62" t="str">
        <x:v>Not Started</x:v>
      </x:c>
      <x:c r="I14" s="70" t="str"/>
      <x:c r="J14" s="62" t="str"/>
      <x:c r="K14" s="62" t="str"/>
      <x:c r="L14" s="62" t="str"/>
      <x:c r="M14" s="62" t="str"/>
    </x:row>
    <x:row r="15">
      <x:c r="A15" s="41" t="str">
        <x:v>E-09</x:v>
      </x:c>
      <x:c r="B15" s="62" t="str"/>
      <x:c r="C15" s="62" t="str"/>
      <x:c r="D15" s="63" t="str"/>
      <x:c r="E15" s="62" t="str"/>
      <x:c r="F15" s="62" t="str"/>
      <x:c r="G15" s="62" t="str"/>
      <x:c r="H15" s="62" t="str">
        <x:v>Not Started</x:v>
      </x:c>
      <x:c r="I15" s="70" t="str"/>
      <x:c r="J15" s="62" t="str"/>
      <x:c r="K15" s="62" t="str"/>
      <x:c r="L15" s="62" t="str"/>
      <x:c r="M15" s="62" t="str"/>
    </x:row>
    <x:row r="16">
      <x:c r="A16" s="41" t="str">
        <x:v>E-10</x:v>
      </x:c>
      <x:c r="B16" s="62" t="str"/>
      <x:c r="C16" s="62" t="str"/>
      <x:c r="D16" s="63" t="str"/>
      <x:c r="E16" s="62" t="str"/>
      <x:c r="F16" s="62" t="str"/>
      <x:c r="G16" s="62" t="str"/>
      <x:c r="H16" s="62" t="str">
        <x:v>Not Started</x:v>
      </x:c>
      <x:c r="I16" s="70" t="str"/>
      <x:c r="J16" s="62" t="str"/>
      <x:c r="K16" s="62" t="str"/>
      <x:c r="L16" s="62" t="str"/>
      <x:c r="M16" s="62" t="str"/>
    </x:row>
    <x:row r="17">
      <x:c r="A17" s="41" t="str">
        <x:v>E-11</x:v>
      </x:c>
      <x:c r="B17" s="62" t="str"/>
      <x:c r="C17" s="62" t="str"/>
      <x:c r="D17" s="63" t="str"/>
      <x:c r="E17" s="62" t="str"/>
      <x:c r="F17" s="62" t="str"/>
      <x:c r="G17" s="62" t="str"/>
      <x:c r="H17" s="62" t="str">
        <x:v>Not Started</x:v>
      </x:c>
      <x:c r="I17" s="70" t="str"/>
      <x:c r="J17" s="62" t="str"/>
      <x:c r="K17" s="62" t="str"/>
      <x:c r="L17" s="62" t="str"/>
      <x:c r="M17" s="62" t="str"/>
    </x:row>
    <x:row r="18">
      <x:c r="A18" s="41" t="str">
        <x:v>E-12</x:v>
      </x:c>
      <x:c r="B18" s="62" t="str"/>
      <x:c r="C18" s="62" t="str"/>
      <x:c r="D18" s="63" t="str"/>
      <x:c r="E18" s="62" t="str"/>
      <x:c r="F18" s="62" t="str"/>
      <x:c r="G18" s="62" t="str"/>
      <x:c r="H18" s="62" t="str">
        <x:v>Not Started</x:v>
      </x:c>
      <x:c r="I18" s="70" t="str"/>
      <x:c r="J18" s="62" t="str"/>
      <x:c r="K18" s="62" t="str"/>
      <x:c r="L18" s="62" t="str"/>
      <x:c r="M18" s="62" t="str"/>
    </x:row>
    <x:row r="19">
      <x:c r="A19" s="41" t="str">
        <x:v>E-13</x:v>
      </x:c>
      <x:c r="B19" s="62" t="str"/>
      <x:c r="C19" s="62" t="str"/>
      <x:c r="D19" s="63" t="str"/>
      <x:c r="E19" s="62" t="str"/>
      <x:c r="F19" s="62" t="str"/>
      <x:c r="G19" s="62" t="str"/>
      <x:c r="H19" s="62" t="str">
        <x:v>Not Started</x:v>
      </x:c>
      <x:c r="I19" s="70" t="str"/>
      <x:c r="J19" s="62" t="str"/>
      <x:c r="K19" s="62" t="str"/>
      <x:c r="L19" s="62" t="str"/>
      <x:c r="M19" s="62" t="str"/>
    </x:row>
    <x:row r="20">
      <x:c r="A20" s="41" t="str">
        <x:v>E-14</x:v>
      </x:c>
      <x:c r="B20" s="62" t="str"/>
      <x:c r="C20" s="62" t="str"/>
      <x:c r="D20" s="63" t="str"/>
      <x:c r="E20" s="62" t="str"/>
      <x:c r="F20" s="62" t="str"/>
      <x:c r="G20" s="62" t="str"/>
      <x:c r="H20" s="62" t="str">
        <x:v>Not Started</x:v>
      </x:c>
      <x:c r="I20" s="70" t="str"/>
      <x:c r="J20" s="62" t="str"/>
      <x:c r="K20" s="62" t="str"/>
      <x:c r="L20" s="62" t="str"/>
      <x:c r="M20" s="62" t="str"/>
    </x:row>
    <x:row r="21">
      <x:c r="A21" s="41" t="str">
        <x:v>E-15</x:v>
      </x:c>
      <x:c r="B21" s="62" t="str"/>
      <x:c r="C21" s="62" t="str"/>
      <x:c r="D21" s="63" t="str"/>
      <x:c r="E21" s="62" t="str"/>
      <x:c r="F21" s="62" t="str"/>
      <x:c r="G21" s="62" t="str"/>
      <x:c r="H21" s="62" t="str">
        <x:v>Not Started</x:v>
      </x:c>
      <x:c r="I21" s="70" t="str"/>
      <x:c r="J21" s="62" t="str"/>
      <x:c r="K21" s="62" t="str"/>
      <x:c r="L21" s="62" t="str"/>
      <x:c r="M21" s="62" t="str"/>
    </x:row>
    <x:row r="22">
      <x:c r="A22" s="41" t="str">
        <x:v>E-16</x:v>
      </x:c>
      <x:c r="B22" s="62" t="str"/>
      <x:c r="C22" s="62" t="str"/>
      <x:c r="D22" s="63" t="str"/>
      <x:c r="E22" s="62" t="str"/>
      <x:c r="F22" s="62" t="str"/>
      <x:c r="G22" s="62" t="str"/>
      <x:c r="H22" s="62" t="str">
        <x:v>Not Started</x:v>
      </x:c>
      <x:c r="I22" s="70" t="str"/>
      <x:c r="J22" s="62" t="str"/>
      <x:c r="K22" s="62" t="str"/>
      <x:c r="L22" s="62" t="str"/>
      <x:c r="M22" s="62" t="str"/>
    </x:row>
    <x:row r="23">
      <x:c r="A23" s="41" t="str">
        <x:v>E-17</x:v>
      </x:c>
      <x:c r="B23" s="62" t="str"/>
      <x:c r="C23" s="62" t="str"/>
      <x:c r="D23" s="63" t="str"/>
      <x:c r="E23" s="62" t="str"/>
      <x:c r="F23" s="62" t="str"/>
      <x:c r="G23" s="62" t="str"/>
      <x:c r="H23" s="62" t="str">
        <x:v>Not Started</x:v>
      </x:c>
      <x:c r="I23" s="70" t="str"/>
      <x:c r="J23" s="62" t="str"/>
      <x:c r="K23" s="62" t="str"/>
      <x:c r="L23" s="62" t="str"/>
      <x:c r="M23" s="62" t="str"/>
    </x:row>
    <x:row r="24">
      <x:c r="A24" s="41" t="str">
        <x:v>E-18</x:v>
      </x:c>
      <x:c r="B24" s="62" t="str"/>
      <x:c r="C24" s="62" t="str"/>
      <x:c r="D24" s="63" t="str"/>
      <x:c r="E24" s="62" t="str"/>
      <x:c r="F24" s="62" t="str"/>
      <x:c r="G24" s="62" t="str"/>
      <x:c r="H24" s="62" t="str">
        <x:v>Not Started</x:v>
      </x:c>
      <x:c r="I24" s="70" t="str"/>
      <x:c r="J24" s="62" t="str"/>
      <x:c r="K24" s="62" t="str"/>
      <x:c r="L24" s="62" t="str"/>
      <x:c r="M24" s="62" t="str"/>
    </x:row>
    <x:row r="25">
      <x:c r="A25" s="41" t="str">
        <x:v>E-19</x:v>
      </x:c>
      <x:c r="B25" s="62" t="str"/>
      <x:c r="C25" s="62" t="str"/>
      <x:c r="D25" s="63" t="str"/>
      <x:c r="E25" s="62" t="str"/>
      <x:c r="F25" s="62" t="str"/>
      <x:c r="G25" s="62" t="str"/>
      <x:c r="H25" s="62" t="str">
        <x:v>Not Started</x:v>
      </x:c>
      <x:c r="I25" s="70" t="str"/>
      <x:c r="J25" s="62" t="str"/>
      <x:c r="K25" s="62" t="str"/>
      <x:c r="L25" s="62" t="str"/>
      <x:c r="M25" s="62" t="str"/>
    </x:row>
    <x:row r="26">
      <x:c r="A26" s="41" t="str">
        <x:v>E-20</x:v>
      </x:c>
      <x:c r="B26" s="62" t="str"/>
      <x:c r="C26" s="62" t="str"/>
      <x:c r="D26" s="63" t="str"/>
      <x:c r="E26" s="62" t="str"/>
      <x:c r="F26" s="62" t="str"/>
      <x:c r="G26" s="62" t="str"/>
      <x:c r="H26" s="62" t="str">
        <x:v>Not Started</x:v>
      </x:c>
      <x:c r="I26" s="70" t="str"/>
      <x:c r="J26" s="62" t="str"/>
      <x:c r="K26" s="62" t="str"/>
      <x:c r="L26" s="62" t="str"/>
      <x:c r="M26" s="62" t="str"/>
    </x:row>
    <x:row r="27">
      <x:c r="A27" s="41" t="str">
        <x:v>E-21</x:v>
      </x:c>
      <x:c r="B27" s="62" t="str"/>
      <x:c r="C27" s="62" t="str"/>
      <x:c r="D27" s="63" t="str"/>
      <x:c r="E27" s="62" t="str"/>
      <x:c r="F27" s="62" t="str"/>
      <x:c r="G27" s="62" t="str"/>
      <x:c r="H27" s="62" t="str">
        <x:v>Not Started</x:v>
      </x:c>
      <x:c r="I27" s="70" t="str"/>
      <x:c r="J27" s="62" t="str"/>
      <x:c r="K27" s="62" t="str"/>
      <x:c r="L27" s="62" t="str"/>
      <x:c r="M27" s="62" t="str"/>
    </x:row>
    <x:row r="28">
      <x:c r="A28" s="41" t="str">
        <x:v>E-22</x:v>
      </x:c>
      <x:c r="B28" s="62" t="str"/>
      <x:c r="C28" s="62" t="str"/>
      <x:c r="D28" s="63" t="str"/>
      <x:c r="E28" s="62" t="str"/>
      <x:c r="F28" s="62" t="str"/>
      <x:c r="G28" s="62" t="str"/>
      <x:c r="H28" s="62" t="str">
        <x:v>Not Started</x:v>
      </x:c>
      <x:c r="I28" s="70" t="str"/>
      <x:c r="J28" s="62" t="str"/>
      <x:c r="K28" s="62" t="str"/>
      <x:c r="L28" s="62" t="str"/>
      <x:c r="M28" s="62" t="str"/>
    </x:row>
    <x:row r="29">
      <x:c r="A29" s="41" t="str">
        <x:v>E-23</x:v>
      </x:c>
      <x:c r="B29" s="62" t="str"/>
      <x:c r="C29" s="62" t="str"/>
      <x:c r="D29" s="63" t="str"/>
      <x:c r="E29" s="62" t="str"/>
      <x:c r="F29" s="62" t="str"/>
      <x:c r="G29" s="62" t="str"/>
      <x:c r="H29" s="62" t="str">
        <x:v>Not Started</x:v>
      </x:c>
      <x:c r="I29" s="70" t="str"/>
      <x:c r="J29" s="62" t="str"/>
      <x:c r="K29" s="62" t="str"/>
      <x:c r="L29" s="62" t="str"/>
      <x:c r="M29" s="62" t="str"/>
    </x:row>
    <x:row r="30">
      <x:c r="A30" s="41" t="str">
        <x:v>E-24</x:v>
      </x:c>
      <x:c r="B30" s="62" t="str"/>
      <x:c r="C30" s="62" t="str"/>
      <x:c r="D30" s="63" t="str"/>
      <x:c r="E30" s="62" t="str"/>
      <x:c r="F30" s="62" t="str"/>
      <x:c r="G30" s="62" t="str"/>
      <x:c r="H30" s="62" t="str">
        <x:v>Not Started</x:v>
      </x:c>
      <x:c r="I30" s="70" t="str"/>
      <x:c r="J30" s="62" t="str"/>
      <x:c r="K30" s="62" t="str"/>
      <x:c r="L30" s="62" t="str"/>
      <x:c r="M30" s="62" t="str"/>
    </x:row>
    <x:row r="31">
      <x:c r="A31" s="41" t="str">
        <x:v>E-25</x:v>
      </x:c>
      <x:c r="B31" s="62" t="str"/>
      <x:c r="C31" s="62" t="str"/>
      <x:c r="D31" s="63" t="str"/>
      <x:c r="E31" s="62" t="str"/>
      <x:c r="F31" s="62" t="str"/>
      <x:c r="G31" s="62" t="str"/>
      <x:c r="H31" s="62" t="str">
        <x:v>Not Started</x:v>
      </x:c>
      <x:c r="I31" s="70" t="str"/>
      <x:c r="J31" s="62" t="str"/>
      <x:c r="K31" s="62" t="str"/>
      <x:c r="L31" s="62" t="str"/>
      <x:c r="M31" s="62" t="str"/>
    </x:row>
  </x:sheetData>
  <x:mergeCells>
    <x:mergeCell ref="A1:M1"/>
    <x:mergeCell ref="A2:M2"/>
    <x:mergeCell ref="A5:M5"/>
  </x:mergeCells>
  <x:dataValidations count="4">
    <x:dataValidation type="list" sqref="B7:B31">
      <x:formula1>"Procedure,Template / form,De-identified sample,System field / status,Workshop statement,Volume / timing data,Analyst observation,Other"</x:formula1>
    </x:dataValidation>
    <x:dataValidation type="list" sqref="F7:F31">
      <x:formula1>"Public,Internal,Confidential,Personal,Sensitive / health"</x:formula1>
    </x:dataValidation>
    <x:dataValidation type="list" sqref="G7:G31">
      <x:formula1>"Approved,Not approved,Not required"</x:formula1>
    </x:dataValidation>
    <x:dataValidation type="list" sqref="H7:H31">
      <x:formula1>"Not Started,In Progress,Complete,Blocked,N/A"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5" hidden="0" customWidth="1"/>
    <x:col min="4" max="4" width="34" hidden="0" customWidth="1"/>
    <x:col min="5" max="5" width="19" hidden="0" customWidth="1"/>
    <x:col min="6" max="6" width="25" hidden="0" customWidth="1"/>
    <x:col min="7" max="7" width="28" hidden="0" customWidth="1"/>
    <x:col min="8" max="8" width="25" hidden="0" customWidth="1"/>
    <x:col min="9" max="9" width="27" hidden="0" customWidth="1"/>
    <x:col min="10" max="10" width="29" hidden="0" customWidth="1"/>
    <x:col min="11" max="11" width="16" hidden="0" customWidth="1"/>
    <x:col min="12" max="12" width="14" hidden="0" customWidth="1"/>
    <x:col min="13" max="13" width="14" hidden="0" customWidth="1"/>
  </x:cols>
  <x:sheetData>
    <x:row r="1" ht="30" customHeight="1">
      <x:c r="A1" s="3" t="str">
        <x:v>Current-State Capture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7" customHeight="1">
      <x:c r="A2" s="7" t="str">
        <x:v>Map the normal path first. Link exceptions, pain points and evidence by ID.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</x:row>
    <x:row r="4" ht="32" customHeight="1">
      <x:c r="A4" s="55" t="str">
        <x:v>Record what happens in practice. Separate observed facts, client statements and assumptions; use role names rather than person or case names.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7"/>
    </x:row>
    <x:row r="5">
      <x:c r="A5" s="72"/>
      <x:c r="B5" s="72"/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</x:row>
    <x:row r="6" ht="30" customHeight="1">
      <x:c r="A6" s="45" t="str">
        <x:v>Step ID</x:v>
      </x:c>
      <x:c r="B6" s="45" t="str">
        <x:v>Stage</x:v>
      </x:c>
      <x:c r="C6" s="45" t="str">
        <x:v>Trigger / input</x:v>
      </x:c>
      <x:c r="D6" s="45" t="str">
        <x:v>Activity</x:v>
      </x:c>
      <x:c r="E6" s="45" t="str">
        <x:v>Role</x:v>
      </x:c>
      <x:c r="F6" s="45" t="str">
        <x:v>System / location</x:v>
      </x:c>
      <x:c r="G6" s="45" t="str">
        <x:v>Decision / rule</x:v>
      </x:c>
      <x:c r="H6" s="45" t="str">
        <x:v>Output</x:v>
      </x:c>
      <x:c r="I6" s="45" t="str">
        <x:v>Handover / next owner</x:v>
      </x:c>
      <x:c r="J6" s="45" t="str">
        <x:v>Control / human review</x:v>
      </x:c>
      <x:c r="K6" s="45" t="str">
        <x:v>Evidence IDs</x:v>
      </x:c>
      <x:c r="L6" s="45" t="str">
        <x:v>Pain IDs</x:v>
      </x:c>
      <x:c r="M6" s="45" t="str">
        <x:v>Confirmed?</x:v>
      </x:c>
    </x:row>
    <x:row r="7">
      <x:c r="A7" s="41" t="str">
        <x:v>S-01</x:v>
      </x:c>
      <x:c r="B7" s="62" t="str"/>
      <x:c r="C7" s="62" t="str"/>
      <x:c r="D7" s="62" t="str"/>
      <x:c r="E7" s="62" t="str"/>
      <x:c r="F7" s="62" t="str"/>
      <x:c r="G7" s="62" t="str"/>
      <x:c r="H7" s="62" t="str"/>
      <x:c r="I7" s="62" t="str"/>
      <x:c r="J7" s="62" t="str"/>
      <x:c r="K7" s="62" t="str"/>
      <x:c r="L7" s="62" t="str"/>
      <x:c r="M7" s="62" t="str"/>
    </x:row>
    <x:row r="8">
      <x:c r="A8" s="41" t="str">
        <x:v>S-02</x:v>
      </x:c>
      <x:c r="B8" s="62" t="str"/>
      <x:c r="C8" s="62" t="str"/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</x:row>
    <x:row r="9">
      <x:c r="A9" s="41" t="str">
        <x:v>S-03</x:v>
      </x:c>
      <x:c r="B9" s="62" t="str"/>
      <x:c r="C9" s="62" t="str"/>
      <x:c r="D9" s="62" t="str"/>
      <x:c r="E9" s="62" t="str"/>
      <x:c r="F9" s="62" t="str"/>
      <x:c r="G9" s="62" t="str"/>
      <x:c r="H9" s="62" t="str"/>
      <x:c r="I9" s="62" t="str"/>
      <x:c r="J9" s="62" t="str"/>
      <x:c r="K9" s="62" t="str"/>
      <x:c r="L9" s="62" t="str"/>
      <x:c r="M9" s="62" t="str"/>
    </x:row>
    <x:row r="10">
      <x:c r="A10" s="41" t="str">
        <x:v>S-04</x:v>
      </x:c>
      <x:c r="B10" s="62" t="str"/>
      <x:c r="C10" s="62" t="str"/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</x:row>
    <x:row r="11">
      <x:c r="A11" s="41" t="str">
        <x:v>S-05</x:v>
      </x:c>
      <x:c r="B11" s="62" t="str"/>
      <x:c r="C11" s="62" t="str"/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</x:row>
    <x:row r="12">
      <x:c r="A12" s="41" t="str">
        <x:v>S-06</x:v>
      </x:c>
      <x:c r="B12" s="62" t="str"/>
      <x:c r="C12" s="62" t="str"/>
      <x:c r="D12" s="62" t="str"/>
      <x:c r="E12" s="62" t="str"/>
      <x:c r="F12" s="62" t="str"/>
      <x:c r="G12" s="62" t="str"/>
      <x:c r="H12" s="62" t="str"/>
      <x:c r="I12" s="62" t="str"/>
      <x:c r="J12" s="62" t="str"/>
      <x:c r="K12" s="62" t="str"/>
      <x:c r="L12" s="62" t="str"/>
      <x:c r="M12" s="62" t="str"/>
    </x:row>
    <x:row r="13">
      <x:c r="A13" s="41" t="str">
        <x:v>S-07</x:v>
      </x:c>
      <x:c r="B13" s="62" t="str"/>
      <x:c r="C13" s="62" t="str"/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</x:row>
    <x:row r="14">
      <x:c r="A14" s="41" t="str">
        <x:v>S-08</x:v>
      </x:c>
      <x:c r="B14" s="62" t="str"/>
      <x:c r="C14" s="62" t="str"/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  <x:c r="L14" s="62" t="str"/>
      <x:c r="M14" s="62" t="str"/>
    </x:row>
    <x:row r="15">
      <x:c r="A15" s="41" t="str">
        <x:v>S-09</x:v>
      </x:c>
      <x:c r="B15" s="62" t="str"/>
      <x:c r="C15" s="62" t="str"/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</x:row>
    <x:row r="16">
      <x:c r="A16" s="41" t="str">
        <x:v>S-10</x:v>
      </x:c>
      <x:c r="B16" s="62" t="str"/>
      <x:c r="C16" s="62" t="str"/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  <x:c r="L16" s="62" t="str"/>
      <x:c r="M16" s="62" t="str"/>
    </x:row>
    <x:row r="17">
      <x:c r="A17" s="41" t="str">
        <x:v>S-11</x:v>
      </x:c>
      <x:c r="B17" s="62" t="str"/>
      <x:c r="C17" s="62" t="str"/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</x:row>
    <x:row r="18">
      <x:c r="A18" s="41" t="str">
        <x:v>S-12</x:v>
      </x:c>
      <x:c r="B18" s="62" t="str"/>
      <x:c r="C18" s="62" t="str"/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</x:row>
    <x:row r="19">
      <x:c r="A19" s="41" t="str">
        <x:v>S-13</x:v>
      </x:c>
      <x:c r="B19" s="62" t="str"/>
      <x:c r="C19" s="62" t="str"/>
      <x:c r="D19" s="62" t="str"/>
      <x:c r="E19" s="62" t="str"/>
      <x:c r="F19" s="62" t="str"/>
      <x:c r="G19" s="62" t="str"/>
      <x:c r="H19" s="62" t="str"/>
      <x:c r="I19" s="62" t="str"/>
      <x:c r="J19" s="62" t="str"/>
      <x:c r="K19" s="62" t="str"/>
      <x:c r="L19" s="62" t="str"/>
      <x:c r="M19" s="62" t="str"/>
    </x:row>
    <x:row r="20">
      <x:c r="A20" s="41" t="str">
        <x:v>S-14</x:v>
      </x:c>
      <x:c r="B20" s="62" t="str"/>
      <x:c r="C20" s="62" t="str"/>
      <x:c r="D20" s="62" t="str"/>
      <x:c r="E20" s="62" t="str"/>
      <x:c r="F20" s="62" t="str"/>
      <x:c r="G20" s="62" t="str"/>
      <x:c r="H20" s="62" t="str"/>
      <x:c r="I20" s="62" t="str"/>
      <x:c r="J20" s="62" t="str"/>
      <x:c r="K20" s="62" t="str"/>
      <x:c r="L20" s="62" t="str"/>
      <x:c r="M20" s="62" t="str"/>
    </x:row>
    <x:row r="21">
      <x:c r="A21" s="41" t="str">
        <x:v>S-15</x:v>
      </x:c>
      <x:c r="B21" s="62" t="str"/>
      <x:c r="C21" s="62" t="str"/>
      <x:c r="D21" s="62" t="str"/>
      <x:c r="E21" s="62" t="str"/>
      <x:c r="F21" s="62" t="str"/>
      <x:c r="G21" s="62" t="str"/>
      <x:c r="H21" s="62" t="str"/>
      <x:c r="I21" s="62" t="str"/>
      <x:c r="J21" s="62" t="str"/>
      <x:c r="K21" s="62" t="str"/>
      <x:c r="L21" s="62" t="str"/>
      <x:c r="M21" s="62" t="str"/>
    </x:row>
    <x:row r="22">
      <x:c r="A22" s="41" t="str">
        <x:v>S-16</x:v>
      </x:c>
      <x:c r="B22" s="62" t="str"/>
      <x:c r="C22" s="62" t="str"/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/>
      <x:c r="L22" s="62" t="str"/>
      <x:c r="M22" s="62" t="str"/>
    </x:row>
    <x:row r="23">
      <x:c r="A23" s="41" t="str">
        <x:v>S-17</x:v>
      </x:c>
      <x:c r="B23" s="62" t="str"/>
      <x:c r="C23" s="62" t="str"/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/>
      <x:c r="M23" s="62" t="str"/>
    </x:row>
    <x:row r="24">
      <x:c r="A24" s="41" t="str">
        <x:v>S-18</x:v>
      </x:c>
      <x:c r="B24" s="62" t="str"/>
      <x:c r="C24" s="62" t="str"/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/>
      <x:c r="L24" s="62" t="str"/>
      <x:c r="M24" s="62" t="str"/>
    </x:row>
    <x:row r="25">
      <x:c r="A25" s="41" t="str">
        <x:v>S-19</x:v>
      </x:c>
      <x:c r="B25" s="62" t="str"/>
      <x:c r="C25" s="62" t="str"/>
      <x:c r="D25" s="62" t="str"/>
      <x:c r="E25" s="62" t="str"/>
      <x:c r="F25" s="62" t="str"/>
      <x:c r="G25" s="62" t="str"/>
      <x:c r="H25" s="62" t="str"/>
      <x:c r="I25" s="62" t="str"/>
      <x:c r="J25" s="62" t="str"/>
      <x:c r="K25" s="62" t="str"/>
      <x:c r="L25" s="62" t="str"/>
      <x:c r="M25" s="62" t="str"/>
    </x:row>
    <x:row r="26">
      <x:c r="A26" s="41" t="str">
        <x:v>S-20</x:v>
      </x:c>
      <x:c r="B26" s="62" t="str"/>
      <x:c r="C26" s="62" t="str"/>
      <x:c r="D26" s="62" t="str"/>
      <x:c r="E26" s="62" t="str"/>
      <x:c r="F26" s="62" t="str"/>
      <x:c r="G26" s="62" t="str"/>
      <x:c r="H26" s="62" t="str"/>
      <x:c r="I26" s="62" t="str"/>
      <x:c r="J26" s="62" t="str"/>
      <x:c r="K26" s="62" t="str"/>
      <x:c r="L26" s="62" t="str"/>
      <x:c r="M26" s="62" t="str"/>
    </x:row>
    <x:row r="27">
      <x:c r="A27" s="41" t="str">
        <x:v>S-21</x:v>
      </x:c>
      <x:c r="B27" s="62" t="str"/>
      <x:c r="C27" s="62" t="str"/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</x:row>
    <x:row r="28">
      <x:c r="A28" s="41" t="str">
        <x:v>S-22</x:v>
      </x:c>
      <x:c r="B28" s="62" t="str"/>
      <x:c r="C28" s="62" t="str"/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</x:row>
    <x:row r="29">
      <x:c r="A29" s="41" t="str">
        <x:v>S-23</x:v>
      </x:c>
      <x:c r="B29" s="62" t="str"/>
      <x:c r="C29" s="62" t="str"/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2" t="str"/>
    </x:row>
    <x:row r="30">
      <x:c r="A30" s="41" t="str">
        <x:v>S-24</x:v>
      </x:c>
      <x:c r="B30" s="62" t="str"/>
      <x:c r="C30" s="62" t="str"/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</x:row>
    <x:row r="31">
      <x:c r="A31" s="41" t="str">
        <x:v>S-25</x:v>
      </x:c>
      <x:c r="B31" s="62" t="str"/>
      <x:c r="C31" s="62" t="str"/>
      <x:c r="D31" s="62" t="str"/>
      <x:c r="E31" s="62" t="str"/>
      <x:c r="F31" s="62" t="str"/>
      <x:c r="G31" s="62" t="str"/>
      <x:c r="H31" s="62" t="str"/>
      <x:c r="I31" s="62" t="str"/>
      <x:c r="J31" s="62" t="str"/>
      <x:c r="K31" s="62" t="str"/>
      <x:c r="L31" s="62" t="str"/>
      <x:c r="M31" s="62" t="str"/>
    </x:row>
  </x:sheetData>
  <x:mergeCells>
    <x:mergeCell ref="A1:M1"/>
    <x:mergeCell ref="A2:M2"/>
    <x:mergeCell ref="A4:M4"/>
  </x:mergeCells>
  <x:dataValidations count="1">
    <x:dataValidation type="list" sqref="M7:M31">
      <x:formula1>"Yes,No,To confirm"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6" hidden="0" customWidth="1"/>
    <x:col min="4" max="4" width="17" hidden="0" customWidth="1"/>
    <x:col min="5" max="5" width="31" hidden="0" customWidth="1"/>
    <x:col min="6" max="6" width="15" hidden="0" customWidth="1"/>
    <x:col min="7" max="7" width="24" hidden="0" customWidth="1"/>
    <x:col min="8" max="8" width="38" hidden="0" customWidth="1"/>
    <x:col min="9" max="9" width="14" hidden="0" customWidth="1"/>
    <x:col min="10" max="10" width="20" hidden="0" customWidth="1"/>
    <x:col min="11" max="11" width="18" hidden="0" customWidth="1"/>
  </x:cols>
  <x:sheetData>
    <x:row r="1" ht="30" customHeight="1">
      <x:c r="A1" s="3" t="str">
        <x:v>Pain Points and Root Causes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" customHeight="1">
      <x:c r="A2" s="7" t="str">
        <x:v>Connect each observation to workflow steps, evidence, impact and a confidence-labelled hypothesis.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</x:row>
    <x:row r="4" ht="32" customHeight="1">
      <x:c r="A4" s="55" t="str">
        <x:v>A client concern is not automatically a root cause. Record the observed condition, evidence and consequence before writing the hypothesis.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7"/>
    </x:row>
    <x:row r="5">
      <x:c r="A5" s="72"/>
      <x:c r="B5" s="72"/>
      <x:c r="C5" s="72"/>
      <x:c r="D5" s="72"/>
      <x:c r="E5" s="72"/>
      <x:c r="F5" s="72"/>
      <x:c r="G5" s="72"/>
      <x:c r="H5" s="72"/>
      <x:c r="I5" s="72"/>
      <x:c r="J5" s="72"/>
      <x:c r="K5" s="72"/>
    </x:row>
    <x:row r="6" ht="30" customHeight="1">
      <x:c r="A6" s="45" t="str">
        <x:v>Pain ID</x:v>
      </x:c>
      <x:c r="B6" s="45" t="str">
        <x:v>Step IDs</x:v>
      </x:c>
      <x:c r="C6" s="45" t="str">
        <x:v>Observation</x:v>
      </x:c>
      <x:c r="D6" s="45" t="str">
        <x:v>Evidence IDs</x:v>
      </x:c>
      <x:c r="E6" s="45" t="str">
        <x:v>Operational impact</x:v>
      </x:c>
      <x:c r="F6" s="45" t="str">
        <x:v>Frequency</x:v>
      </x:c>
      <x:c r="G6" s="45" t="str">
        <x:v>Root cause lens</x:v>
      </x:c>
      <x:c r="H6" s="45" t="str">
        <x:v>Root cause hypothesis</x:v>
      </x:c>
      <x:c r="I6" s="45" t="str">
        <x:v>Confidence</x:v>
      </x:c>
      <x:c r="J6" s="45" t="str">
        <x:v>Owner to confirm</x:v>
      </x:c>
      <x:c r="K6" s="45" t="str">
        <x:v>Status</x:v>
      </x:c>
    </x:row>
    <x:row r="7">
      <x:c r="A7" s="41" t="str">
        <x:v>P-01</x:v>
      </x:c>
      <x:c r="B7" s="62" t="str"/>
      <x:c r="C7" s="62" t="str"/>
      <x:c r="D7" s="62" t="str"/>
      <x:c r="E7" s="62" t="str"/>
      <x:c r="F7" s="62" t="str"/>
      <x:c r="G7" s="62" t="str"/>
      <x:c r="H7" s="62" t="str"/>
      <x:c r="I7" s="62" t="str"/>
      <x:c r="J7" s="62" t="str"/>
      <x:c r="K7" s="62" t="str">
        <x:v>Not Started</x:v>
      </x:c>
    </x:row>
    <x:row r="8">
      <x:c r="A8" s="41" t="str">
        <x:v>P-02</x:v>
      </x:c>
      <x:c r="B8" s="62" t="str"/>
      <x:c r="C8" s="62" t="str"/>
      <x:c r="D8" s="62" t="str"/>
      <x:c r="E8" s="62" t="str"/>
      <x:c r="F8" s="62" t="str"/>
      <x:c r="G8" s="62" t="str"/>
      <x:c r="H8" s="62" t="str"/>
      <x:c r="I8" s="62" t="str"/>
      <x:c r="J8" s="62" t="str"/>
      <x:c r="K8" s="62" t="str">
        <x:v>Not Started</x:v>
      </x:c>
    </x:row>
    <x:row r="9">
      <x:c r="A9" s="41" t="str">
        <x:v>P-03</x:v>
      </x:c>
      <x:c r="B9" s="62" t="str"/>
      <x:c r="C9" s="62" t="str"/>
      <x:c r="D9" s="62" t="str"/>
      <x:c r="E9" s="62" t="str"/>
      <x:c r="F9" s="62" t="str"/>
      <x:c r="G9" s="62" t="str"/>
      <x:c r="H9" s="62" t="str"/>
      <x:c r="I9" s="62" t="str"/>
      <x:c r="J9" s="62" t="str"/>
      <x:c r="K9" s="62" t="str">
        <x:v>Not Started</x:v>
      </x:c>
    </x:row>
    <x:row r="10">
      <x:c r="A10" s="41" t="str">
        <x:v>P-04</x:v>
      </x:c>
      <x:c r="B10" s="62" t="str"/>
      <x:c r="C10" s="62" t="str"/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>
        <x:v>Not Started</x:v>
      </x:c>
    </x:row>
    <x:row r="11">
      <x:c r="A11" s="41" t="str">
        <x:v>P-05</x:v>
      </x:c>
      <x:c r="B11" s="62" t="str"/>
      <x:c r="C11" s="62" t="str"/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>
        <x:v>Not Started</x:v>
      </x:c>
    </x:row>
    <x:row r="12">
      <x:c r="A12" s="41" t="str">
        <x:v>P-06</x:v>
      </x:c>
      <x:c r="B12" s="62" t="str"/>
      <x:c r="C12" s="62" t="str"/>
      <x:c r="D12" s="62" t="str"/>
      <x:c r="E12" s="62" t="str"/>
      <x:c r="F12" s="62" t="str"/>
      <x:c r="G12" s="62" t="str"/>
      <x:c r="H12" s="62" t="str"/>
      <x:c r="I12" s="62" t="str"/>
      <x:c r="J12" s="62" t="str"/>
      <x:c r="K12" s="62" t="str">
        <x:v>Not Started</x:v>
      </x:c>
    </x:row>
    <x:row r="13">
      <x:c r="A13" s="41" t="str">
        <x:v>P-07</x:v>
      </x:c>
      <x:c r="B13" s="62" t="str"/>
      <x:c r="C13" s="62" t="str"/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>
        <x:v>Not Started</x:v>
      </x:c>
    </x:row>
    <x:row r="14">
      <x:c r="A14" s="41" t="str">
        <x:v>P-08</x:v>
      </x:c>
      <x:c r="B14" s="62" t="str"/>
      <x:c r="C14" s="62" t="str"/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>
        <x:v>Not Started</x:v>
      </x:c>
    </x:row>
    <x:row r="15">
      <x:c r="A15" s="41" t="str">
        <x:v>P-09</x:v>
      </x:c>
      <x:c r="B15" s="62" t="str"/>
      <x:c r="C15" s="62" t="str"/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>
        <x:v>Not Started</x:v>
      </x:c>
    </x:row>
    <x:row r="16">
      <x:c r="A16" s="41" t="str">
        <x:v>P-10</x:v>
      </x:c>
      <x:c r="B16" s="62" t="str"/>
      <x:c r="C16" s="62" t="str"/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>
        <x:v>Not Started</x:v>
      </x:c>
    </x:row>
    <x:row r="17">
      <x:c r="A17" s="41" t="str">
        <x:v>P-11</x:v>
      </x:c>
      <x:c r="B17" s="62" t="str"/>
      <x:c r="C17" s="62" t="str"/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>
        <x:v>Not Started</x:v>
      </x:c>
    </x:row>
    <x:row r="18">
      <x:c r="A18" s="41" t="str">
        <x:v>P-12</x:v>
      </x:c>
      <x:c r="B18" s="62" t="str"/>
      <x:c r="C18" s="62" t="str"/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>
        <x:v>Not Started</x:v>
      </x:c>
    </x:row>
    <x:row r="19">
      <x:c r="A19" s="41" t="str">
        <x:v>P-13</x:v>
      </x:c>
      <x:c r="B19" s="62" t="str"/>
      <x:c r="C19" s="62" t="str"/>
      <x:c r="D19" s="62" t="str"/>
      <x:c r="E19" s="62" t="str"/>
      <x:c r="F19" s="62" t="str"/>
      <x:c r="G19" s="62" t="str"/>
      <x:c r="H19" s="62" t="str"/>
      <x:c r="I19" s="62" t="str"/>
      <x:c r="J19" s="62" t="str"/>
      <x:c r="K19" s="62" t="str">
        <x:v>Not Started</x:v>
      </x:c>
    </x:row>
    <x:row r="20">
      <x:c r="A20" s="41" t="str">
        <x:v>P-14</x:v>
      </x:c>
      <x:c r="B20" s="62" t="str"/>
      <x:c r="C20" s="62" t="str"/>
      <x:c r="D20" s="62" t="str"/>
      <x:c r="E20" s="62" t="str"/>
      <x:c r="F20" s="62" t="str"/>
      <x:c r="G20" s="62" t="str"/>
      <x:c r="H20" s="62" t="str"/>
      <x:c r="I20" s="62" t="str"/>
      <x:c r="J20" s="62" t="str"/>
      <x:c r="K20" s="62" t="str">
        <x:v>Not Started</x:v>
      </x:c>
    </x:row>
    <x:row r="21">
      <x:c r="A21" s="41" t="str">
        <x:v>P-15</x:v>
      </x:c>
      <x:c r="B21" s="62" t="str"/>
      <x:c r="C21" s="62" t="str"/>
      <x:c r="D21" s="62" t="str"/>
      <x:c r="E21" s="62" t="str"/>
      <x:c r="F21" s="62" t="str"/>
      <x:c r="G21" s="62" t="str"/>
      <x:c r="H21" s="62" t="str"/>
      <x:c r="I21" s="62" t="str"/>
      <x:c r="J21" s="62" t="str"/>
      <x:c r="K21" s="62" t="str">
        <x:v>Not Started</x:v>
      </x:c>
    </x:row>
    <x:row r="22">
      <x:c r="A22" s="41" t="str">
        <x:v>P-16</x:v>
      </x:c>
      <x:c r="B22" s="62" t="str"/>
      <x:c r="C22" s="62" t="str"/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>
        <x:v>Not Started</x:v>
      </x:c>
    </x:row>
    <x:row r="23">
      <x:c r="A23" s="41" t="str">
        <x:v>P-17</x:v>
      </x:c>
      <x:c r="B23" s="62" t="str"/>
      <x:c r="C23" s="62" t="str"/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>
        <x:v>Not Started</x:v>
      </x:c>
    </x:row>
    <x:row r="24">
      <x:c r="A24" s="41" t="str">
        <x:v>P-18</x:v>
      </x:c>
      <x:c r="B24" s="62" t="str"/>
      <x:c r="C24" s="62" t="str"/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>
        <x:v>Not Started</x:v>
      </x:c>
    </x:row>
    <x:row r="25">
      <x:c r="A25" s="41" t="str">
        <x:v>P-19</x:v>
      </x:c>
      <x:c r="B25" s="62" t="str"/>
      <x:c r="C25" s="62" t="str"/>
      <x:c r="D25" s="62" t="str"/>
      <x:c r="E25" s="62" t="str"/>
      <x:c r="F25" s="62" t="str"/>
      <x:c r="G25" s="62" t="str"/>
      <x:c r="H25" s="62" t="str"/>
      <x:c r="I25" s="62" t="str"/>
      <x:c r="J25" s="62" t="str"/>
      <x:c r="K25" s="62" t="str">
        <x:v>Not Started</x:v>
      </x:c>
    </x:row>
    <x:row r="26">
      <x:c r="A26" s="41" t="str">
        <x:v>P-20</x:v>
      </x:c>
      <x:c r="B26" s="62" t="str"/>
      <x:c r="C26" s="62" t="str"/>
      <x:c r="D26" s="62" t="str"/>
      <x:c r="E26" s="62" t="str"/>
      <x:c r="F26" s="62" t="str"/>
      <x:c r="G26" s="62" t="str"/>
      <x:c r="H26" s="62" t="str"/>
      <x:c r="I26" s="62" t="str"/>
      <x:c r="J26" s="62" t="str"/>
      <x:c r="K26" s="62" t="str">
        <x:v>Not Started</x:v>
      </x:c>
    </x:row>
    <x:row r="27">
      <x:c r="A27" s="41" t="str">
        <x:v>P-21</x:v>
      </x:c>
      <x:c r="B27" s="62" t="str"/>
      <x:c r="C27" s="62" t="str"/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>
        <x:v>Not Started</x:v>
      </x:c>
    </x:row>
    <x:row r="28">
      <x:c r="A28" s="41" t="str">
        <x:v>P-22</x:v>
      </x:c>
      <x:c r="B28" s="62" t="str"/>
      <x:c r="C28" s="62" t="str"/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>
        <x:v>Not Started</x:v>
      </x:c>
    </x:row>
    <x:row r="29">
      <x:c r="A29" s="41" t="str">
        <x:v>P-23</x:v>
      </x:c>
      <x:c r="B29" s="62" t="str"/>
      <x:c r="C29" s="62" t="str"/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>
        <x:v>Not Started</x:v>
      </x:c>
    </x:row>
    <x:row r="30">
      <x:c r="A30" s="41" t="str">
        <x:v>P-24</x:v>
      </x:c>
      <x:c r="B30" s="62" t="str"/>
      <x:c r="C30" s="62" t="str"/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>
        <x:v>Not Started</x:v>
      </x:c>
    </x:row>
    <x:row r="31">
      <x:c r="A31" s="41" t="str">
        <x:v>P-25</x:v>
      </x:c>
      <x:c r="B31" s="62" t="str"/>
      <x:c r="C31" s="62" t="str"/>
      <x:c r="D31" s="62" t="str"/>
      <x:c r="E31" s="62" t="str"/>
      <x:c r="F31" s="62" t="str"/>
      <x:c r="G31" s="62" t="str"/>
      <x:c r="H31" s="62" t="str"/>
      <x:c r="I31" s="62" t="str"/>
      <x:c r="J31" s="62" t="str"/>
      <x:c r="K31" s="62" t="str">
        <x:v>Not Started</x:v>
      </x:c>
    </x:row>
  </x:sheetData>
  <x:mergeCells>
    <x:mergeCell ref="A1:K1"/>
    <x:mergeCell ref="A2:K2"/>
    <x:mergeCell ref="A4:K4"/>
  </x:mergeCells>
  <x:dataValidations count="3">
    <x:dataValidation type="list" sqref="G7:G31">
      <x:formula1>"People and ownership,Process,Information,Systems,Controls"</x:formula1>
    </x:dataValidation>
    <x:dataValidation type="list" sqref="I7:I31">
      <x:formula1>"High,Medium,Low"</x:formula1>
    </x:dataValidation>
    <x:dataValidation type="list" sqref="K7:K31">
      <x:formula1>"Not Started,In Progress,Complete,Blocked,N/A"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14" hidden="0" customWidth="1"/>
    <x:col min="6" max="6" width="13" hidden="0" customWidth="1"/>
    <x:col min="7" max="7" width="17" hidden="0" customWidth="1"/>
    <x:col min="8" max="8" width="13" hidden="0" customWidth="1"/>
    <x:col min="9" max="9" width="14" hidden="0" customWidth="1"/>
    <x:col min="10" max="10" width="11" hidden="0" customWidth="1"/>
    <x:col min="11" max="11" width="31" hidden="0" customWidth="1"/>
    <x:col min="12" max="12" width="36" hidden="0" customWidth="1"/>
    <x:col min="13" max="13" width="18" hidden="0" customWidth="1"/>
    <x:col min="14" max="14" width="18" hidden="0" customWidth="1"/>
  </x:cols>
  <x:sheetData>
    <x:row r="1" ht="30" customHeight="1">
      <x:c r="A1" s="3" t="str">
        <x:v>Opportunity Scoring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7" customHeight="1">
      <x:c r="A2" s="7" t="str">
        <x:v>One opportunity per distinct change. Weighted score supports ordering but does not replace judgement.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</x:row>
    <x:row r="4" ht="32" customHeight="1">
      <x:c r="A4" s="55" t="str">
        <x:v>Scores of 1-5 use the approved weights on Lists &amp; Rules. Record dependencies and control gates; a high score is not implementation approval.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7"/>
    </x:row>
    <x:row r="5">
      <x:c r="A5" s="72"/>
      <x:c r="B5" s="72"/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</x:row>
    <x:row r="6" ht="30" customHeight="1">
      <x:c r="A6" s="45" t="str">
        <x:v>Opportunity ID</x:v>
      </x:c>
      <x:c r="B6" s="45" t="str">
        <x:v>Opportunity</x:v>
      </x:c>
      <x:c r="C6" s="45" t="str">
        <x:v>Finding / pain IDs</x:v>
      </x:c>
      <x:c r="D6" s="45" t="str">
        <x:v>Operational benefit</x:v>
      </x:c>
      <x:c r="E6" s="45" t="str">
        <x:v>Risk reduction</x:v>
      </x:c>
      <x:c r="F6" s="45" t="str">
        <x:v>Feasibility</x:v>
      </x:c>
      <x:c r="G6" s="45" t="str">
        <x:v>Evidence confidence</x:v>
      </x:c>
      <x:c r="H6" s="45" t="str">
        <x:v>Strategic fit</x:v>
      </x:c>
      <x:c r="I6" s="45" t="str">
        <x:v>Weighted score</x:v>
      </x:c>
      <x:c r="J6" s="45" t="str">
        <x:v>Priority</x:v>
      </x:c>
      <x:c r="K6" s="45" t="str">
        <x:v>High-level option</x:v>
      </x:c>
      <x:c r="L6" s="45" t="str">
        <x:v>Dependencies / gates</x:v>
      </x:c>
      <x:c r="M6" s="45" t="str">
        <x:v>Owner</x:v>
      </x:c>
      <x:c r="N6" s="45" t="str">
        <x:v>Status</x:v>
      </x:c>
    </x:row>
    <x:row r="7">
      <x:c r="A7" s="41" t="str">
        <x:v>O-01</x:v>
      </x:c>
      <x:c r="B7" s="62" t="str"/>
      <x:c r="C7" s="62" t="str"/>
      <x:c r="D7" s="70" t="str"/>
      <x:c r="E7" s="70" t="str"/>
      <x:c r="F7" s="70" t="str"/>
      <x:c r="G7" s="70" t="str"/>
      <x:c r="H7" s="70" t="str"/>
      <x:c r="I7" s="71" t="str">
        <x:f>IF(COUNT(D7:H7)=0,"",ROUND(D7*'Lists &amp; Rules'!$B$5+E7*'Lists &amp; Rules'!$B$6+F7*'Lists &amp; Rules'!$B$7+G7*'Lists &amp; Rules'!$B$8+H7*'Lists &amp; Rules'!$B$9,2))</x:f>
      </x:c>
      <x:c r="J7" s="71" t="str">
        <x:f>IF(I7="","",IF(I7&gt;='Lists &amp; Rules'!$B$13,"P1",IF(I7&gt;='Lists &amp; Rules'!$B$14,"P2",IF(I7&gt;='Lists &amp; Rules'!$B$15,"P3","PARK"))))</x:f>
      </x:c>
      <x:c r="K7" s="62" t="str"/>
      <x:c r="L7" s="62" t="str"/>
      <x:c r="M7" s="62" t="str"/>
      <x:c r="N7" s="62" t="str">
        <x:v>Not Started</x:v>
      </x:c>
    </x:row>
    <x:row r="8">
      <x:c r="A8" s="41" t="str">
        <x:v>O-02</x:v>
      </x:c>
      <x:c r="B8" s="62" t="str"/>
      <x:c r="C8" s="62" t="str"/>
      <x:c r="D8" s="70" t="str"/>
      <x:c r="E8" s="70" t="str"/>
      <x:c r="F8" s="70" t="str"/>
      <x:c r="G8" s="70" t="str"/>
      <x:c r="H8" s="70" t="str"/>
      <x:c r="I8" s="71" t="str">
        <x:f>IF(COUNT(D8:H8)=0,"",ROUND(D8*'Lists &amp; Rules'!$B$5+E8*'Lists &amp; Rules'!$B$6+F8*'Lists &amp; Rules'!$B$7+G8*'Lists &amp; Rules'!$B$8+H8*'Lists &amp; Rules'!$B$9,2))</x:f>
      </x:c>
      <x:c r="J8" s="71" t="str">
        <x:f>IF(I8="","",IF(I8&gt;='Lists &amp; Rules'!$B$13,"P1",IF(I8&gt;='Lists &amp; Rules'!$B$14,"P2",IF(I8&gt;='Lists &amp; Rules'!$B$15,"P3","PARK"))))</x:f>
      </x:c>
      <x:c r="K8" s="62" t="str"/>
      <x:c r="L8" s="62" t="str"/>
      <x:c r="M8" s="62" t="str"/>
      <x:c r="N8" s="62" t="str">
        <x:v>Not Started</x:v>
      </x:c>
    </x:row>
    <x:row r="9">
      <x:c r="A9" s="41" t="str">
        <x:v>O-03</x:v>
      </x:c>
      <x:c r="B9" s="62" t="str"/>
      <x:c r="C9" s="62" t="str"/>
      <x:c r="D9" s="70" t="str"/>
      <x:c r="E9" s="70" t="str"/>
      <x:c r="F9" s="70" t="str"/>
      <x:c r="G9" s="70" t="str"/>
      <x:c r="H9" s="70" t="str"/>
      <x:c r="I9" s="71" t="str">
        <x:f>IF(COUNT(D9:H9)=0,"",ROUND(D9*'Lists &amp; Rules'!$B$5+E9*'Lists &amp; Rules'!$B$6+F9*'Lists &amp; Rules'!$B$7+G9*'Lists &amp; Rules'!$B$8+H9*'Lists &amp; Rules'!$B$9,2))</x:f>
      </x:c>
      <x:c r="J9" s="71" t="str">
        <x:f>IF(I9="","",IF(I9&gt;='Lists &amp; Rules'!$B$13,"P1",IF(I9&gt;='Lists &amp; Rules'!$B$14,"P2",IF(I9&gt;='Lists &amp; Rules'!$B$15,"P3","PARK"))))</x:f>
      </x:c>
      <x:c r="K9" s="62" t="str"/>
      <x:c r="L9" s="62" t="str"/>
      <x:c r="M9" s="62" t="str"/>
      <x:c r="N9" s="62" t="str">
        <x:v>Not Started</x:v>
      </x:c>
    </x:row>
    <x:row r="10">
      <x:c r="A10" s="41" t="str">
        <x:v>O-04</x:v>
      </x:c>
      <x:c r="B10" s="62" t="str"/>
      <x:c r="C10" s="62" t="str"/>
      <x:c r="D10" s="70" t="str"/>
      <x:c r="E10" s="70" t="str"/>
      <x:c r="F10" s="70" t="str"/>
      <x:c r="G10" s="70" t="str"/>
      <x:c r="H10" s="70" t="str"/>
      <x:c r="I10" s="71" t="str">
        <x:f>IF(COUNT(D10:H10)=0,"",ROUND(D10*'Lists &amp; Rules'!$B$5+E10*'Lists &amp; Rules'!$B$6+F10*'Lists &amp; Rules'!$B$7+G10*'Lists &amp; Rules'!$B$8+H10*'Lists &amp; Rules'!$B$9,2))</x:f>
      </x:c>
      <x:c r="J10" s="71" t="str">
        <x:f>IF(I10="","",IF(I10&gt;='Lists &amp; Rules'!$B$13,"P1",IF(I10&gt;='Lists &amp; Rules'!$B$14,"P2",IF(I10&gt;='Lists &amp; Rules'!$B$15,"P3","PARK"))))</x:f>
      </x:c>
      <x:c r="K10" s="62" t="str"/>
      <x:c r="L10" s="62" t="str"/>
      <x:c r="M10" s="62" t="str"/>
      <x:c r="N10" s="62" t="str">
        <x:v>Not Started</x:v>
      </x:c>
    </x:row>
    <x:row r="11">
      <x:c r="A11" s="41" t="str">
        <x:v>O-05</x:v>
      </x:c>
      <x:c r="B11" s="62" t="str"/>
      <x:c r="C11" s="62" t="str"/>
      <x:c r="D11" s="70" t="str"/>
      <x:c r="E11" s="70" t="str"/>
      <x:c r="F11" s="70" t="str"/>
      <x:c r="G11" s="70" t="str"/>
      <x:c r="H11" s="70" t="str"/>
      <x:c r="I11" s="71" t="str">
        <x:f>IF(COUNT(D11:H11)=0,"",ROUND(D11*'Lists &amp; Rules'!$B$5+E11*'Lists &amp; Rules'!$B$6+F11*'Lists &amp; Rules'!$B$7+G11*'Lists &amp; Rules'!$B$8+H11*'Lists &amp; Rules'!$B$9,2))</x:f>
      </x:c>
      <x:c r="J11" s="71" t="str">
        <x:f>IF(I11="","",IF(I11&gt;='Lists &amp; Rules'!$B$13,"P1",IF(I11&gt;='Lists &amp; Rules'!$B$14,"P2",IF(I11&gt;='Lists &amp; Rules'!$B$15,"P3","PARK"))))</x:f>
      </x:c>
      <x:c r="K11" s="62" t="str"/>
      <x:c r="L11" s="62" t="str"/>
      <x:c r="M11" s="62" t="str"/>
      <x:c r="N11" s="62" t="str">
        <x:v>Not Started</x:v>
      </x:c>
    </x:row>
    <x:row r="12">
      <x:c r="A12" s="41" t="str">
        <x:v>O-06</x:v>
      </x:c>
      <x:c r="B12" s="62" t="str"/>
      <x:c r="C12" s="62" t="str"/>
      <x:c r="D12" s="70" t="str"/>
      <x:c r="E12" s="70" t="str"/>
      <x:c r="F12" s="70" t="str"/>
      <x:c r="G12" s="70" t="str"/>
      <x:c r="H12" s="70" t="str"/>
      <x:c r="I12" s="71" t="str">
        <x:f>IF(COUNT(D12:H12)=0,"",ROUND(D12*'Lists &amp; Rules'!$B$5+E12*'Lists &amp; Rules'!$B$6+F12*'Lists &amp; Rules'!$B$7+G12*'Lists &amp; Rules'!$B$8+H12*'Lists &amp; Rules'!$B$9,2))</x:f>
      </x:c>
      <x:c r="J12" s="71" t="str">
        <x:f>IF(I12="","",IF(I12&gt;='Lists &amp; Rules'!$B$13,"P1",IF(I12&gt;='Lists &amp; Rules'!$B$14,"P2",IF(I12&gt;='Lists &amp; Rules'!$B$15,"P3","PARK"))))</x:f>
      </x:c>
      <x:c r="K12" s="62" t="str"/>
      <x:c r="L12" s="62" t="str"/>
      <x:c r="M12" s="62" t="str"/>
      <x:c r="N12" s="62" t="str">
        <x:v>Not Started</x:v>
      </x:c>
    </x:row>
    <x:row r="13">
      <x:c r="A13" s="41" t="str">
        <x:v>O-07</x:v>
      </x:c>
      <x:c r="B13" s="62" t="str"/>
      <x:c r="C13" s="62" t="str"/>
      <x:c r="D13" s="70" t="str"/>
      <x:c r="E13" s="70" t="str"/>
      <x:c r="F13" s="70" t="str"/>
      <x:c r="G13" s="70" t="str"/>
      <x:c r="H13" s="70" t="str"/>
      <x:c r="I13" s="71" t="str">
        <x:f>IF(COUNT(D13:H13)=0,"",ROUND(D13*'Lists &amp; Rules'!$B$5+E13*'Lists &amp; Rules'!$B$6+F13*'Lists &amp; Rules'!$B$7+G13*'Lists &amp; Rules'!$B$8+H13*'Lists &amp; Rules'!$B$9,2))</x:f>
      </x:c>
      <x:c r="J13" s="71" t="str">
        <x:f>IF(I13="","",IF(I13&gt;='Lists &amp; Rules'!$B$13,"P1",IF(I13&gt;='Lists &amp; Rules'!$B$14,"P2",IF(I13&gt;='Lists &amp; Rules'!$B$15,"P3","PARK"))))</x:f>
      </x:c>
      <x:c r="K13" s="62" t="str"/>
      <x:c r="L13" s="62" t="str"/>
      <x:c r="M13" s="62" t="str"/>
      <x:c r="N13" s="62" t="str">
        <x:v>Not Started</x:v>
      </x:c>
    </x:row>
    <x:row r="14">
      <x:c r="A14" s="41" t="str">
        <x:v>O-08</x:v>
      </x:c>
      <x:c r="B14" s="62" t="str"/>
      <x:c r="C14" s="62" t="str"/>
      <x:c r="D14" s="70" t="str"/>
      <x:c r="E14" s="70" t="str"/>
      <x:c r="F14" s="70" t="str"/>
      <x:c r="G14" s="70" t="str"/>
      <x:c r="H14" s="70" t="str"/>
      <x:c r="I14" s="71" t="str">
        <x:f>IF(COUNT(D14:H14)=0,"",ROUND(D14*'Lists &amp; Rules'!$B$5+E14*'Lists &amp; Rules'!$B$6+F14*'Lists &amp; Rules'!$B$7+G14*'Lists &amp; Rules'!$B$8+H14*'Lists &amp; Rules'!$B$9,2))</x:f>
      </x:c>
      <x:c r="J14" s="71" t="str">
        <x:f>IF(I14="","",IF(I14&gt;='Lists &amp; Rules'!$B$13,"P1",IF(I14&gt;='Lists &amp; Rules'!$B$14,"P2",IF(I14&gt;='Lists &amp; Rules'!$B$15,"P3","PARK"))))</x:f>
      </x:c>
      <x:c r="K14" s="62" t="str"/>
      <x:c r="L14" s="62" t="str"/>
      <x:c r="M14" s="62" t="str"/>
      <x:c r="N14" s="62" t="str">
        <x:v>Not Started</x:v>
      </x:c>
    </x:row>
    <x:row r="15">
      <x:c r="A15" s="41" t="str">
        <x:v>O-09</x:v>
      </x:c>
      <x:c r="B15" s="62" t="str"/>
      <x:c r="C15" s="62" t="str"/>
      <x:c r="D15" s="70" t="str"/>
      <x:c r="E15" s="70" t="str"/>
      <x:c r="F15" s="70" t="str"/>
      <x:c r="G15" s="70" t="str"/>
      <x:c r="H15" s="70" t="str"/>
      <x:c r="I15" s="71" t="str">
        <x:f>IF(COUNT(D15:H15)=0,"",ROUND(D15*'Lists &amp; Rules'!$B$5+E15*'Lists &amp; Rules'!$B$6+F15*'Lists &amp; Rules'!$B$7+G15*'Lists &amp; Rules'!$B$8+H15*'Lists &amp; Rules'!$B$9,2))</x:f>
      </x:c>
      <x:c r="J15" s="71" t="str">
        <x:f>IF(I15="","",IF(I15&gt;='Lists &amp; Rules'!$B$13,"P1",IF(I15&gt;='Lists &amp; Rules'!$B$14,"P2",IF(I15&gt;='Lists &amp; Rules'!$B$15,"P3","PARK"))))</x:f>
      </x:c>
      <x:c r="K15" s="62" t="str"/>
      <x:c r="L15" s="62" t="str"/>
      <x:c r="M15" s="62" t="str"/>
      <x:c r="N15" s="62" t="str">
        <x:v>Not Started</x:v>
      </x:c>
    </x:row>
    <x:row r="16">
      <x:c r="A16" s="41" t="str">
        <x:v>O-10</x:v>
      </x:c>
      <x:c r="B16" s="62" t="str"/>
      <x:c r="C16" s="62" t="str"/>
      <x:c r="D16" s="70" t="str"/>
      <x:c r="E16" s="70" t="str"/>
      <x:c r="F16" s="70" t="str"/>
      <x:c r="G16" s="70" t="str"/>
      <x:c r="H16" s="70" t="str"/>
      <x:c r="I16" s="71" t="str">
        <x:f>IF(COUNT(D16:H16)=0,"",ROUND(D16*'Lists &amp; Rules'!$B$5+E16*'Lists &amp; Rules'!$B$6+F16*'Lists &amp; Rules'!$B$7+G16*'Lists &amp; Rules'!$B$8+H16*'Lists &amp; Rules'!$B$9,2))</x:f>
      </x:c>
      <x:c r="J16" s="71" t="str">
        <x:f>IF(I16="","",IF(I16&gt;='Lists &amp; Rules'!$B$13,"P1",IF(I16&gt;='Lists &amp; Rules'!$B$14,"P2",IF(I16&gt;='Lists &amp; Rules'!$B$15,"P3","PARK"))))</x:f>
      </x:c>
      <x:c r="K16" s="62" t="str"/>
      <x:c r="L16" s="62" t="str"/>
      <x:c r="M16" s="62" t="str"/>
      <x:c r="N16" s="62" t="str">
        <x:v>Not Started</x:v>
      </x:c>
    </x:row>
    <x:row r="17">
      <x:c r="A17" s="41" t="str">
        <x:v>O-11</x:v>
      </x:c>
      <x:c r="B17" s="62" t="str"/>
      <x:c r="C17" s="62" t="str"/>
      <x:c r="D17" s="70" t="str"/>
      <x:c r="E17" s="70" t="str"/>
      <x:c r="F17" s="70" t="str"/>
      <x:c r="G17" s="70" t="str"/>
      <x:c r="H17" s="70" t="str"/>
      <x:c r="I17" s="71" t="str">
        <x:f>IF(COUNT(D17:H17)=0,"",ROUND(D17*'Lists &amp; Rules'!$B$5+E17*'Lists &amp; Rules'!$B$6+F17*'Lists &amp; Rules'!$B$7+G17*'Lists &amp; Rules'!$B$8+H17*'Lists &amp; Rules'!$B$9,2))</x:f>
      </x:c>
      <x:c r="J17" s="71" t="str">
        <x:f>IF(I17="","",IF(I17&gt;='Lists &amp; Rules'!$B$13,"P1",IF(I17&gt;='Lists &amp; Rules'!$B$14,"P2",IF(I17&gt;='Lists &amp; Rules'!$B$15,"P3","PARK"))))</x:f>
      </x:c>
      <x:c r="K17" s="62" t="str"/>
      <x:c r="L17" s="62" t="str"/>
      <x:c r="M17" s="62" t="str"/>
      <x:c r="N17" s="62" t="str">
        <x:v>Not Started</x:v>
      </x:c>
    </x:row>
    <x:row r="18">
      <x:c r="A18" s="41" t="str">
        <x:v>O-12</x:v>
      </x:c>
      <x:c r="B18" s="62" t="str"/>
      <x:c r="C18" s="62" t="str"/>
      <x:c r="D18" s="70" t="str"/>
      <x:c r="E18" s="70" t="str"/>
      <x:c r="F18" s="70" t="str"/>
      <x:c r="G18" s="70" t="str"/>
      <x:c r="H18" s="70" t="str"/>
      <x:c r="I18" s="71" t="str">
        <x:f>IF(COUNT(D18:H18)=0,"",ROUND(D18*'Lists &amp; Rules'!$B$5+E18*'Lists &amp; Rules'!$B$6+F18*'Lists &amp; Rules'!$B$7+G18*'Lists &amp; Rules'!$B$8+H18*'Lists &amp; Rules'!$B$9,2))</x:f>
      </x:c>
      <x:c r="J18" s="71" t="str">
        <x:f>IF(I18="","",IF(I18&gt;='Lists &amp; Rules'!$B$13,"P1",IF(I18&gt;='Lists &amp; Rules'!$B$14,"P2",IF(I18&gt;='Lists &amp; Rules'!$B$15,"P3","PARK"))))</x:f>
      </x:c>
      <x:c r="K18" s="62" t="str"/>
      <x:c r="L18" s="62" t="str"/>
      <x:c r="M18" s="62" t="str"/>
      <x:c r="N18" s="62" t="str">
        <x:v>Not Started</x:v>
      </x:c>
    </x:row>
    <x:row r="19">
      <x:c r="A19" s="41" t="str">
        <x:v>O-13</x:v>
      </x:c>
      <x:c r="B19" s="62" t="str"/>
      <x:c r="C19" s="62" t="str"/>
      <x:c r="D19" s="70" t="str"/>
      <x:c r="E19" s="70" t="str"/>
      <x:c r="F19" s="70" t="str"/>
      <x:c r="G19" s="70" t="str"/>
      <x:c r="H19" s="70" t="str"/>
      <x:c r="I19" s="71" t="str">
        <x:f>IF(COUNT(D19:H19)=0,"",ROUND(D19*'Lists &amp; Rules'!$B$5+E19*'Lists &amp; Rules'!$B$6+F19*'Lists &amp; Rules'!$B$7+G19*'Lists &amp; Rules'!$B$8+H19*'Lists &amp; Rules'!$B$9,2))</x:f>
      </x:c>
      <x:c r="J19" s="71" t="str">
        <x:f>IF(I19="","",IF(I19&gt;='Lists &amp; Rules'!$B$13,"P1",IF(I19&gt;='Lists &amp; Rules'!$B$14,"P2",IF(I19&gt;='Lists &amp; Rules'!$B$15,"P3","PARK"))))</x:f>
      </x:c>
      <x:c r="K19" s="62" t="str"/>
      <x:c r="L19" s="62" t="str"/>
      <x:c r="M19" s="62" t="str"/>
      <x:c r="N19" s="62" t="str">
        <x:v>Not Started</x:v>
      </x:c>
    </x:row>
    <x:row r="20">
      <x:c r="A20" s="41" t="str">
        <x:v>O-14</x:v>
      </x:c>
      <x:c r="B20" s="62" t="str"/>
      <x:c r="C20" s="62" t="str"/>
      <x:c r="D20" s="70" t="str"/>
      <x:c r="E20" s="70" t="str"/>
      <x:c r="F20" s="70" t="str"/>
      <x:c r="G20" s="70" t="str"/>
      <x:c r="H20" s="70" t="str"/>
      <x:c r="I20" s="71" t="str">
        <x:f>IF(COUNT(D20:H20)=0,"",ROUND(D20*'Lists &amp; Rules'!$B$5+E20*'Lists &amp; Rules'!$B$6+F20*'Lists &amp; Rules'!$B$7+G20*'Lists &amp; Rules'!$B$8+H20*'Lists &amp; Rules'!$B$9,2))</x:f>
      </x:c>
      <x:c r="J20" s="71" t="str">
        <x:f>IF(I20="","",IF(I20&gt;='Lists &amp; Rules'!$B$13,"P1",IF(I20&gt;='Lists &amp; Rules'!$B$14,"P2",IF(I20&gt;='Lists &amp; Rules'!$B$15,"P3","PARK"))))</x:f>
      </x:c>
      <x:c r="K20" s="62" t="str"/>
      <x:c r="L20" s="62" t="str"/>
      <x:c r="M20" s="62" t="str"/>
      <x:c r="N20" s="62" t="str">
        <x:v>Not Started</x:v>
      </x:c>
    </x:row>
    <x:row r="21">
      <x:c r="A21" s="41" t="str">
        <x:v>O-15</x:v>
      </x:c>
      <x:c r="B21" s="62" t="str"/>
      <x:c r="C21" s="62" t="str"/>
      <x:c r="D21" s="70" t="str"/>
      <x:c r="E21" s="70" t="str"/>
      <x:c r="F21" s="70" t="str"/>
      <x:c r="G21" s="70" t="str"/>
      <x:c r="H21" s="70" t="str"/>
      <x:c r="I21" s="71" t="str">
        <x:f>IF(COUNT(D21:H21)=0,"",ROUND(D21*'Lists &amp; Rules'!$B$5+E21*'Lists &amp; Rules'!$B$6+F21*'Lists &amp; Rules'!$B$7+G21*'Lists &amp; Rules'!$B$8+H21*'Lists &amp; Rules'!$B$9,2))</x:f>
      </x:c>
      <x:c r="J21" s="71" t="str">
        <x:f>IF(I21="","",IF(I21&gt;='Lists &amp; Rules'!$B$13,"P1",IF(I21&gt;='Lists &amp; Rules'!$B$14,"P2",IF(I21&gt;='Lists &amp; Rules'!$B$15,"P3","PARK"))))</x:f>
      </x:c>
      <x:c r="K21" s="62" t="str"/>
      <x:c r="L21" s="62" t="str"/>
      <x:c r="M21" s="62" t="str"/>
      <x:c r="N21" s="62" t="str">
        <x:v>Not Started</x:v>
      </x:c>
    </x:row>
    <x:row r="22">
      <x:c r="A22" s="41" t="str">
        <x:v>O-16</x:v>
      </x:c>
      <x:c r="B22" s="62" t="str"/>
      <x:c r="C22" s="62" t="str"/>
      <x:c r="D22" s="70" t="str"/>
      <x:c r="E22" s="70" t="str"/>
      <x:c r="F22" s="70" t="str"/>
      <x:c r="G22" s="70" t="str"/>
      <x:c r="H22" s="70" t="str"/>
      <x:c r="I22" s="71" t="str">
        <x:f>IF(COUNT(D22:H22)=0,"",ROUND(D22*'Lists &amp; Rules'!$B$5+E22*'Lists &amp; Rules'!$B$6+F22*'Lists &amp; Rules'!$B$7+G22*'Lists &amp; Rules'!$B$8+H22*'Lists &amp; Rules'!$B$9,2))</x:f>
      </x:c>
      <x:c r="J22" s="71" t="str">
        <x:f>IF(I22="","",IF(I22&gt;='Lists &amp; Rules'!$B$13,"P1",IF(I22&gt;='Lists &amp; Rules'!$B$14,"P2",IF(I22&gt;='Lists &amp; Rules'!$B$15,"P3","PARK"))))</x:f>
      </x:c>
      <x:c r="K22" s="62" t="str"/>
      <x:c r="L22" s="62" t="str"/>
      <x:c r="M22" s="62" t="str"/>
      <x:c r="N22" s="62" t="str">
        <x:v>Not Started</x:v>
      </x:c>
    </x:row>
    <x:row r="23">
      <x:c r="A23" s="41" t="str">
        <x:v>O-17</x:v>
      </x:c>
      <x:c r="B23" s="62" t="str"/>
      <x:c r="C23" s="62" t="str"/>
      <x:c r="D23" s="70" t="str"/>
      <x:c r="E23" s="70" t="str"/>
      <x:c r="F23" s="70" t="str"/>
      <x:c r="G23" s="70" t="str"/>
      <x:c r="H23" s="70" t="str"/>
      <x:c r="I23" s="71" t="str">
        <x:f>IF(COUNT(D23:H23)=0,"",ROUND(D23*'Lists &amp; Rules'!$B$5+E23*'Lists &amp; Rules'!$B$6+F23*'Lists &amp; Rules'!$B$7+G23*'Lists &amp; Rules'!$B$8+H23*'Lists &amp; Rules'!$B$9,2))</x:f>
      </x:c>
      <x:c r="J23" s="71" t="str">
        <x:f>IF(I23="","",IF(I23&gt;='Lists &amp; Rules'!$B$13,"P1",IF(I23&gt;='Lists &amp; Rules'!$B$14,"P2",IF(I23&gt;='Lists &amp; Rules'!$B$15,"P3","PARK"))))</x:f>
      </x:c>
      <x:c r="K23" s="62" t="str"/>
      <x:c r="L23" s="62" t="str"/>
      <x:c r="M23" s="62" t="str"/>
      <x:c r="N23" s="62" t="str">
        <x:v>Not Started</x:v>
      </x:c>
    </x:row>
    <x:row r="24">
      <x:c r="A24" s="41" t="str">
        <x:v>O-18</x:v>
      </x:c>
      <x:c r="B24" s="62" t="str"/>
      <x:c r="C24" s="62" t="str"/>
      <x:c r="D24" s="70" t="str"/>
      <x:c r="E24" s="70" t="str"/>
      <x:c r="F24" s="70" t="str"/>
      <x:c r="G24" s="70" t="str"/>
      <x:c r="H24" s="70" t="str"/>
      <x:c r="I24" s="71" t="str">
        <x:f>IF(COUNT(D24:H24)=0,"",ROUND(D24*'Lists &amp; Rules'!$B$5+E24*'Lists &amp; Rules'!$B$6+F24*'Lists &amp; Rules'!$B$7+G24*'Lists &amp; Rules'!$B$8+H24*'Lists &amp; Rules'!$B$9,2))</x:f>
      </x:c>
      <x:c r="J24" s="71" t="str">
        <x:f>IF(I24="","",IF(I24&gt;='Lists &amp; Rules'!$B$13,"P1",IF(I24&gt;='Lists &amp; Rules'!$B$14,"P2",IF(I24&gt;='Lists &amp; Rules'!$B$15,"P3","PARK"))))</x:f>
      </x:c>
      <x:c r="K24" s="62" t="str"/>
      <x:c r="L24" s="62" t="str"/>
      <x:c r="M24" s="62" t="str"/>
      <x:c r="N24" s="62" t="str">
        <x:v>Not Started</x:v>
      </x:c>
    </x:row>
    <x:row r="25">
      <x:c r="A25" s="41" t="str">
        <x:v>O-19</x:v>
      </x:c>
      <x:c r="B25" s="62" t="str"/>
      <x:c r="C25" s="62" t="str"/>
      <x:c r="D25" s="70" t="str"/>
      <x:c r="E25" s="70" t="str"/>
      <x:c r="F25" s="70" t="str"/>
      <x:c r="G25" s="70" t="str"/>
      <x:c r="H25" s="70" t="str"/>
      <x:c r="I25" s="71" t="str">
        <x:f>IF(COUNT(D25:H25)=0,"",ROUND(D25*'Lists &amp; Rules'!$B$5+E25*'Lists &amp; Rules'!$B$6+F25*'Lists &amp; Rules'!$B$7+G25*'Lists &amp; Rules'!$B$8+H25*'Lists &amp; Rules'!$B$9,2))</x:f>
      </x:c>
      <x:c r="J25" s="71" t="str">
        <x:f>IF(I25="","",IF(I25&gt;='Lists &amp; Rules'!$B$13,"P1",IF(I25&gt;='Lists &amp; Rules'!$B$14,"P2",IF(I25&gt;='Lists &amp; Rules'!$B$15,"P3","PARK"))))</x:f>
      </x:c>
      <x:c r="K25" s="62" t="str"/>
      <x:c r="L25" s="62" t="str"/>
      <x:c r="M25" s="62" t="str"/>
      <x:c r="N25" s="62" t="str">
        <x:v>Not Started</x:v>
      </x:c>
    </x:row>
    <x:row r="26">
      <x:c r="A26" s="41" t="str">
        <x:v>O-20</x:v>
      </x:c>
      <x:c r="B26" s="62" t="str"/>
      <x:c r="C26" s="62" t="str"/>
      <x:c r="D26" s="70" t="str"/>
      <x:c r="E26" s="70" t="str"/>
      <x:c r="F26" s="70" t="str"/>
      <x:c r="G26" s="70" t="str"/>
      <x:c r="H26" s="70" t="str"/>
      <x:c r="I26" s="71" t="str">
        <x:f>IF(COUNT(D26:H26)=0,"",ROUND(D26*'Lists &amp; Rules'!$B$5+E26*'Lists &amp; Rules'!$B$6+F26*'Lists &amp; Rules'!$B$7+G26*'Lists &amp; Rules'!$B$8+H26*'Lists &amp; Rules'!$B$9,2))</x:f>
      </x:c>
      <x:c r="J26" s="71" t="str">
        <x:f>IF(I26="","",IF(I26&gt;='Lists &amp; Rules'!$B$13,"P1",IF(I26&gt;='Lists &amp; Rules'!$B$14,"P2",IF(I26&gt;='Lists &amp; Rules'!$B$15,"P3","PARK"))))</x:f>
      </x:c>
      <x:c r="K26" s="62" t="str"/>
      <x:c r="L26" s="62" t="str"/>
      <x:c r="M26" s="62" t="str"/>
      <x:c r="N26" s="62" t="str">
        <x:v>Not Started</x:v>
      </x:c>
    </x:row>
    <x:row r="27">
      <x:c r="A27" s="41" t="str">
        <x:v>O-21</x:v>
      </x:c>
      <x:c r="B27" s="62" t="str"/>
      <x:c r="C27" s="62" t="str"/>
      <x:c r="D27" s="70" t="str"/>
      <x:c r="E27" s="70" t="str"/>
      <x:c r="F27" s="70" t="str"/>
      <x:c r="G27" s="70" t="str"/>
      <x:c r="H27" s="70" t="str"/>
      <x:c r="I27" s="71" t="str">
        <x:f>IF(COUNT(D27:H27)=0,"",ROUND(D27*'Lists &amp; Rules'!$B$5+E27*'Lists &amp; Rules'!$B$6+F27*'Lists &amp; Rules'!$B$7+G27*'Lists &amp; Rules'!$B$8+H27*'Lists &amp; Rules'!$B$9,2))</x:f>
      </x:c>
      <x:c r="J27" s="71" t="str">
        <x:f>IF(I27="","",IF(I27&gt;='Lists &amp; Rules'!$B$13,"P1",IF(I27&gt;='Lists &amp; Rules'!$B$14,"P2",IF(I27&gt;='Lists &amp; Rules'!$B$15,"P3","PARK"))))</x:f>
      </x:c>
      <x:c r="K27" s="62" t="str"/>
      <x:c r="L27" s="62" t="str"/>
      <x:c r="M27" s="62" t="str"/>
      <x:c r="N27" s="62" t="str">
        <x:v>Not Started</x:v>
      </x:c>
    </x:row>
    <x:row r="28">
      <x:c r="A28" s="41" t="str">
        <x:v>O-22</x:v>
      </x:c>
      <x:c r="B28" s="62" t="str"/>
      <x:c r="C28" s="62" t="str"/>
      <x:c r="D28" s="70" t="str"/>
      <x:c r="E28" s="70" t="str"/>
      <x:c r="F28" s="70" t="str"/>
      <x:c r="G28" s="70" t="str"/>
      <x:c r="H28" s="70" t="str"/>
      <x:c r="I28" s="71" t="str">
        <x:f>IF(COUNT(D28:H28)=0,"",ROUND(D28*'Lists &amp; Rules'!$B$5+E28*'Lists &amp; Rules'!$B$6+F28*'Lists &amp; Rules'!$B$7+G28*'Lists &amp; Rules'!$B$8+H28*'Lists &amp; Rules'!$B$9,2))</x:f>
      </x:c>
      <x:c r="J28" s="71" t="str">
        <x:f>IF(I28="","",IF(I28&gt;='Lists &amp; Rules'!$B$13,"P1",IF(I28&gt;='Lists &amp; Rules'!$B$14,"P2",IF(I28&gt;='Lists &amp; Rules'!$B$15,"P3","PARK"))))</x:f>
      </x:c>
      <x:c r="K28" s="62" t="str"/>
      <x:c r="L28" s="62" t="str"/>
      <x:c r="M28" s="62" t="str"/>
      <x:c r="N28" s="62" t="str">
        <x:v>Not Started</x:v>
      </x:c>
    </x:row>
    <x:row r="29">
      <x:c r="A29" s="41" t="str">
        <x:v>O-23</x:v>
      </x:c>
      <x:c r="B29" s="62" t="str"/>
      <x:c r="C29" s="62" t="str"/>
      <x:c r="D29" s="70" t="str"/>
      <x:c r="E29" s="70" t="str"/>
      <x:c r="F29" s="70" t="str"/>
      <x:c r="G29" s="70" t="str"/>
      <x:c r="H29" s="70" t="str"/>
      <x:c r="I29" s="71" t="str">
        <x:f>IF(COUNT(D29:H29)=0,"",ROUND(D29*'Lists &amp; Rules'!$B$5+E29*'Lists &amp; Rules'!$B$6+F29*'Lists &amp; Rules'!$B$7+G29*'Lists &amp; Rules'!$B$8+H29*'Lists &amp; Rules'!$B$9,2))</x:f>
      </x:c>
      <x:c r="J29" s="71" t="str">
        <x:f>IF(I29="","",IF(I29&gt;='Lists &amp; Rules'!$B$13,"P1",IF(I29&gt;='Lists &amp; Rules'!$B$14,"P2",IF(I29&gt;='Lists &amp; Rules'!$B$15,"P3","PARK"))))</x:f>
      </x:c>
      <x:c r="K29" s="62" t="str"/>
      <x:c r="L29" s="62" t="str"/>
      <x:c r="M29" s="62" t="str"/>
      <x:c r="N29" s="62" t="str">
        <x:v>Not Started</x:v>
      </x:c>
    </x:row>
    <x:row r="30">
      <x:c r="A30" s="41" t="str">
        <x:v>O-24</x:v>
      </x:c>
      <x:c r="B30" s="62" t="str"/>
      <x:c r="C30" s="62" t="str"/>
      <x:c r="D30" s="70" t="str"/>
      <x:c r="E30" s="70" t="str"/>
      <x:c r="F30" s="70" t="str"/>
      <x:c r="G30" s="70" t="str"/>
      <x:c r="H30" s="70" t="str"/>
      <x:c r="I30" s="71" t="str">
        <x:f>IF(COUNT(D30:H30)=0,"",ROUND(D30*'Lists &amp; Rules'!$B$5+E30*'Lists &amp; Rules'!$B$6+F30*'Lists &amp; Rules'!$B$7+G30*'Lists &amp; Rules'!$B$8+H30*'Lists &amp; Rules'!$B$9,2))</x:f>
      </x:c>
      <x:c r="J30" s="71" t="str">
        <x:f>IF(I30="","",IF(I30&gt;='Lists &amp; Rules'!$B$13,"P1",IF(I30&gt;='Lists &amp; Rules'!$B$14,"P2",IF(I30&gt;='Lists &amp; Rules'!$B$15,"P3","PARK"))))</x:f>
      </x:c>
      <x:c r="K30" s="62" t="str"/>
      <x:c r="L30" s="62" t="str"/>
      <x:c r="M30" s="62" t="str"/>
      <x:c r="N30" s="62" t="str">
        <x:v>Not Started</x:v>
      </x:c>
    </x:row>
    <x:row r="31">
      <x:c r="A31" s="41" t="str">
        <x:v>O-25</x:v>
      </x:c>
      <x:c r="B31" s="62" t="str"/>
      <x:c r="C31" s="62" t="str"/>
      <x:c r="D31" s="70" t="str"/>
      <x:c r="E31" s="70" t="str"/>
      <x:c r="F31" s="70" t="str"/>
      <x:c r="G31" s="70" t="str"/>
      <x:c r="H31" s="70" t="str"/>
      <x:c r="I31" s="71" t="str">
        <x:f>IF(COUNT(D31:H31)=0,"",ROUND(D31*'Lists &amp; Rules'!$B$5+E31*'Lists &amp; Rules'!$B$6+F31*'Lists &amp; Rules'!$B$7+G31*'Lists &amp; Rules'!$B$8+H31*'Lists &amp; Rules'!$B$9,2))</x:f>
      </x:c>
      <x:c r="J31" s="71" t="str">
        <x:f>IF(I31="","",IF(I31&gt;='Lists &amp; Rules'!$B$13,"P1",IF(I31&gt;='Lists &amp; Rules'!$B$14,"P2",IF(I31&gt;='Lists &amp; Rules'!$B$15,"P3","PARK"))))</x:f>
      </x:c>
      <x:c r="K31" s="62" t="str"/>
      <x:c r="L31" s="62" t="str"/>
      <x:c r="M31" s="62" t="str"/>
      <x:c r="N31" s="62" t="str">
        <x:v>Not Started</x:v>
      </x:c>
    </x:row>
  </x:sheetData>
  <x:mergeCells>
    <x:mergeCell ref="A1:N1"/>
    <x:mergeCell ref="A2:N2"/>
    <x:mergeCell ref="A4:N4"/>
  </x:mergeCells>
  <x:dataValidations count="7">
    <x:dataValidation type="list" sqref="D7:D31">
      <x:formula1>"1,2,3,4,5"</x:formula1>
    </x:dataValidation>
    <x:dataValidation type="list" sqref="E7:E31">
      <x:formula1>"1,2,3,4,5"</x:formula1>
    </x:dataValidation>
    <x:dataValidation type="list" sqref="F7:F31">
      <x:formula1>"1,2,3,4,5"</x:formula1>
    </x:dataValidation>
    <x:dataValidation type="list" sqref="G7:G31">
      <x:formula1>"1,2,3,4,5"</x:formula1>
    </x:dataValidation>
    <x:dataValidation type="list" sqref="H7:H31">
      <x:formula1>"1,2,3,4,5"</x:formula1>
    </x:dataValidation>
    <x:dataValidation type="list" sqref="K7:K31">
      <x:formula1>"Process and ownership change,Configure approved existing tools,Low-code workflow,Tailored internal system,Controlled AI assistance,No project"</x:formula1>
    </x:dataValidation>
    <x:dataValidation type="list" sqref="N7:N31">
      <x:formula1>"Not Started,In Progress,Complete,Blocked,N/A"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20" hidden="0" customWidth="1"/>
    <x:col min="5" max="5" width="25" hidden="0" customWidth="1"/>
    <x:col min="6" max="6" width="27" hidden="0" customWidth="1"/>
    <x:col min="7" max="7" width="28" hidden="0" customWidth="1"/>
    <x:col min="8" max="8" width="28" hidden="0" customWidth="1"/>
    <x:col min="9" max="9" width="30" hidden="0" customWidth="1"/>
    <x:col min="10" max="10" width="24" hidden="0" customWidth="1"/>
    <x:col min="11" max="11" width="28" hidden="0" customWidth="1"/>
    <x:col min="12" max="12" width="18" hidden="0" customWidth="1"/>
  </x:cols>
  <x:sheetData>
    <x:row r="1" ht="30" customHeight="1">
      <x:c r="A1" s="3" t="str">
        <x:v>Future-State Design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7" t="str">
        <x:v>Show the material changes in ownership, information, controls, handovers and measurement.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</x:row>
    <x:row r="4" ht="32" customHeight="1">
      <x:c r="A4" s="55" t="str">
        <x:v>Simplify before automating. Keep human judgement for material clinical, participant, employment, legal and operational decisions.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7"/>
    </x:row>
    <x:row r="5">
      <x:c r="A5" s="72"/>
      <x:c r="B5" s="72"/>
      <x:c r="C5" s="72"/>
      <x:c r="D5" s="72"/>
      <x:c r="E5" s="72"/>
      <x:c r="F5" s="72"/>
      <x:c r="G5" s="72"/>
      <x:c r="H5" s="72"/>
      <x:c r="I5" s="72"/>
      <x:c r="J5" s="72"/>
      <x:c r="K5" s="72"/>
      <x:c r="L5" s="72"/>
    </x:row>
    <x:row r="6" ht="30" customHeight="1">
      <x:c r="A6" s="45" t="str">
        <x:v>Change ID</x:v>
      </x:c>
      <x:c r="B6" s="45" t="str">
        <x:v>Related step / finding</x:v>
      </x:c>
      <x:c r="C6" s="45" t="str">
        <x:v>Future-state activity</x:v>
      </x:c>
      <x:c r="D6" s="45" t="str">
        <x:v>Accountable role</x:v>
      </x:c>
      <x:c r="E6" s="45" t="str">
        <x:v>System / location</x:v>
      </x:c>
      <x:c r="F6" s="45" t="str">
        <x:v>Information captured</x:v>
      </x:c>
      <x:c r="G6" s="45" t="str">
        <x:v>Decision / rule</x:v>
      </x:c>
      <x:c r="H6" s="45" t="str">
        <x:v>Handover / next owner</x:v>
      </x:c>
      <x:c r="I6" s="45" t="str">
        <x:v>Control / human review</x:v>
      </x:c>
      <x:c r="J6" s="45" t="str">
        <x:v>Measure</x:v>
      </x:c>
      <x:c r="K6" s="45" t="str">
        <x:v>Dependency</x:v>
      </x:c>
      <x:c r="L6" s="45" t="str">
        <x:v>Status</x:v>
      </x:c>
    </x:row>
    <x:row r="7">
      <x:c r="A7" s="41" t="str">
        <x:v>C-01</x:v>
      </x:c>
      <x:c r="B7" s="62" t="str"/>
      <x:c r="C7" s="62" t="str"/>
      <x:c r="D7" s="62" t="str"/>
      <x:c r="E7" s="62" t="str"/>
      <x:c r="F7" s="62" t="str"/>
      <x:c r="G7" s="62" t="str"/>
      <x:c r="H7" s="62" t="str"/>
      <x:c r="I7" s="62" t="str"/>
      <x:c r="J7" s="62" t="str"/>
      <x:c r="K7" s="62" t="str"/>
      <x:c r="L7" s="62" t="str">
        <x:v>Not Started</x:v>
      </x:c>
    </x:row>
    <x:row r="8">
      <x:c r="A8" s="41" t="str">
        <x:v>C-02</x:v>
      </x:c>
      <x:c r="B8" s="62" t="str"/>
      <x:c r="C8" s="62" t="str"/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>
        <x:v>Not Started</x:v>
      </x:c>
    </x:row>
    <x:row r="9">
      <x:c r="A9" s="41" t="str">
        <x:v>C-03</x:v>
      </x:c>
      <x:c r="B9" s="62" t="str"/>
      <x:c r="C9" s="62" t="str"/>
      <x:c r="D9" s="62" t="str"/>
      <x:c r="E9" s="62" t="str"/>
      <x:c r="F9" s="62" t="str"/>
      <x:c r="G9" s="62" t="str"/>
      <x:c r="H9" s="62" t="str"/>
      <x:c r="I9" s="62" t="str"/>
      <x:c r="J9" s="62" t="str"/>
      <x:c r="K9" s="62" t="str"/>
      <x:c r="L9" s="62" t="str">
        <x:v>Not Started</x:v>
      </x:c>
    </x:row>
    <x:row r="10">
      <x:c r="A10" s="41" t="str">
        <x:v>C-04</x:v>
      </x:c>
      <x:c r="B10" s="62" t="str"/>
      <x:c r="C10" s="62" t="str"/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>
        <x:v>Not Started</x:v>
      </x:c>
    </x:row>
    <x:row r="11">
      <x:c r="A11" s="41" t="str">
        <x:v>C-05</x:v>
      </x:c>
      <x:c r="B11" s="62" t="str"/>
      <x:c r="C11" s="62" t="str"/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>
        <x:v>Not Started</x:v>
      </x:c>
    </x:row>
    <x:row r="12">
      <x:c r="A12" s="41" t="str">
        <x:v>C-06</x:v>
      </x:c>
      <x:c r="B12" s="62" t="str"/>
      <x:c r="C12" s="62" t="str"/>
      <x:c r="D12" s="62" t="str"/>
      <x:c r="E12" s="62" t="str"/>
      <x:c r="F12" s="62" t="str"/>
      <x:c r="G12" s="62" t="str"/>
      <x:c r="H12" s="62" t="str"/>
      <x:c r="I12" s="62" t="str"/>
      <x:c r="J12" s="62" t="str"/>
      <x:c r="K12" s="62" t="str"/>
      <x:c r="L12" s="62" t="str">
        <x:v>Not Started</x:v>
      </x:c>
    </x:row>
    <x:row r="13">
      <x:c r="A13" s="41" t="str">
        <x:v>C-07</x:v>
      </x:c>
      <x:c r="B13" s="62" t="str"/>
      <x:c r="C13" s="62" t="str"/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>
        <x:v>Not Started</x:v>
      </x:c>
    </x:row>
    <x:row r="14">
      <x:c r="A14" s="41" t="str">
        <x:v>C-08</x:v>
      </x:c>
      <x:c r="B14" s="62" t="str"/>
      <x:c r="C14" s="62" t="str"/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  <x:c r="L14" s="62" t="str">
        <x:v>Not Started</x:v>
      </x:c>
    </x:row>
    <x:row r="15">
      <x:c r="A15" s="41" t="str">
        <x:v>C-09</x:v>
      </x:c>
      <x:c r="B15" s="62" t="str"/>
      <x:c r="C15" s="62" t="str"/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>
        <x:v>Not Started</x:v>
      </x:c>
    </x:row>
    <x:row r="16">
      <x:c r="A16" s="41" t="str">
        <x:v>C-10</x:v>
      </x:c>
      <x:c r="B16" s="62" t="str"/>
      <x:c r="C16" s="62" t="str"/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  <x:c r="L16" s="62" t="str">
        <x:v>Not Started</x:v>
      </x:c>
    </x:row>
    <x:row r="17">
      <x:c r="A17" s="41" t="str">
        <x:v>C-11</x:v>
      </x:c>
      <x:c r="B17" s="62" t="str"/>
      <x:c r="C17" s="62" t="str"/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>
        <x:v>Not Started</x:v>
      </x:c>
    </x:row>
    <x:row r="18">
      <x:c r="A18" s="41" t="str">
        <x:v>C-12</x:v>
      </x:c>
      <x:c r="B18" s="62" t="str"/>
      <x:c r="C18" s="62" t="str"/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>
        <x:v>Not Started</x:v>
      </x:c>
    </x:row>
    <x:row r="19">
      <x:c r="A19" s="41" t="str">
        <x:v>C-13</x:v>
      </x:c>
      <x:c r="B19" s="62" t="str"/>
      <x:c r="C19" s="62" t="str"/>
      <x:c r="D19" s="62" t="str"/>
      <x:c r="E19" s="62" t="str"/>
      <x:c r="F19" s="62" t="str"/>
      <x:c r="G19" s="62" t="str"/>
      <x:c r="H19" s="62" t="str"/>
      <x:c r="I19" s="62" t="str"/>
      <x:c r="J19" s="62" t="str"/>
      <x:c r="K19" s="62" t="str"/>
      <x:c r="L19" s="62" t="str">
        <x:v>Not Started</x:v>
      </x:c>
    </x:row>
    <x:row r="20">
      <x:c r="A20" s="41" t="str">
        <x:v>C-14</x:v>
      </x:c>
      <x:c r="B20" s="62" t="str"/>
      <x:c r="C20" s="62" t="str"/>
      <x:c r="D20" s="62" t="str"/>
      <x:c r="E20" s="62" t="str"/>
      <x:c r="F20" s="62" t="str"/>
      <x:c r="G20" s="62" t="str"/>
      <x:c r="H20" s="62" t="str"/>
      <x:c r="I20" s="62" t="str"/>
      <x:c r="J20" s="62" t="str"/>
      <x:c r="K20" s="62" t="str"/>
      <x:c r="L20" s="62" t="str">
        <x:v>Not Started</x:v>
      </x:c>
    </x:row>
    <x:row r="21">
      <x:c r="A21" s="41" t="str">
        <x:v>C-15</x:v>
      </x:c>
      <x:c r="B21" s="62" t="str"/>
      <x:c r="C21" s="62" t="str"/>
      <x:c r="D21" s="62" t="str"/>
      <x:c r="E21" s="62" t="str"/>
      <x:c r="F21" s="62" t="str"/>
      <x:c r="G21" s="62" t="str"/>
      <x:c r="H21" s="62" t="str"/>
      <x:c r="I21" s="62" t="str"/>
      <x:c r="J21" s="62" t="str"/>
      <x:c r="K21" s="62" t="str"/>
      <x:c r="L21" s="62" t="str">
        <x:v>Not Started</x:v>
      </x:c>
    </x:row>
    <x:row r="22">
      <x:c r="A22" s="41" t="str">
        <x:v>C-16</x:v>
      </x:c>
      <x:c r="B22" s="62" t="str"/>
      <x:c r="C22" s="62" t="str"/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/>
      <x:c r="L22" s="62" t="str">
        <x:v>Not Started</x:v>
      </x:c>
    </x:row>
    <x:row r="23">
      <x:c r="A23" s="41" t="str">
        <x:v>C-17</x:v>
      </x:c>
      <x:c r="B23" s="62" t="str"/>
      <x:c r="C23" s="62" t="str"/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>
        <x:v>Not Started</x:v>
      </x:c>
    </x:row>
    <x:row r="24">
      <x:c r="A24" s="41" t="str">
        <x:v>C-18</x:v>
      </x:c>
      <x:c r="B24" s="62" t="str"/>
      <x:c r="C24" s="62" t="str"/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/>
      <x:c r="L24" s="62" t="str">
        <x:v>Not Started</x:v>
      </x:c>
    </x:row>
    <x:row r="25">
      <x:c r="A25" s="41" t="str">
        <x:v>C-19</x:v>
      </x:c>
      <x:c r="B25" s="62" t="str"/>
      <x:c r="C25" s="62" t="str"/>
      <x:c r="D25" s="62" t="str"/>
      <x:c r="E25" s="62" t="str"/>
      <x:c r="F25" s="62" t="str"/>
      <x:c r="G25" s="62" t="str"/>
      <x:c r="H25" s="62" t="str"/>
      <x:c r="I25" s="62" t="str"/>
      <x:c r="J25" s="62" t="str"/>
      <x:c r="K25" s="62" t="str"/>
      <x:c r="L25" s="62" t="str">
        <x:v>Not Started</x:v>
      </x:c>
    </x:row>
    <x:row r="26">
      <x:c r="A26" s="41" t="str">
        <x:v>C-20</x:v>
      </x:c>
      <x:c r="B26" s="62" t="str"/>
      <x:c r="C26" s="62" t="str"/>
      <x:c r="D26" s="62" t="str"/>
      <x:c r="E26" s="62" t="str"/>
      <x:c r="F26" s="62" t="str"/>
      <x:c r="G26" s="62" t="str"/>
      <x:c r="H26" s="62" t="str"/>
      <x:c r="I26" s="62" t="str"/>
      <x:c r="J26" s="62" t="str"/>
      <x:c r="K26" s="62" t="str"/>
      <x:c r="L26" s="62" t="str">
        <x:v>Not Started</x:v>
      </x:c>
    </x:row>
    <x:row r="27">
      <x:c r="A27" s="41" t="str">
        <x:v>C-21</x:v>
      </x:c>
      <x:c r="B27" s="62" t="str"/>
      <x:c r="C27" s="62" t="str"/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>
        <x:v>Not Started</x:v>
      </x:c>
    </x:row>
    <x:row r="28">
      <x:c r="A28" s="41" t="str">
        <x:v>C-22</x:v>
      </x:c>
      <x:c r="B28" s="62" t="str"/>
      <x:c r="C28" s="62" t="str"/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>
        <x:v>Not Started</x:v>
      </x:c>
    </x:row>
    <x:row r="29">
      <x:c r="A29" s="41" t="str">
        <x:v>C-23</x:v>
      </x:c>
      <x:c r="B29" s="62" t="str"/>
      <x:c r="C29" s="62" t="str"/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>
        <x:v>Not Started</x:v>
      </x:c>
    </x:row>
    <x:row r="30">
      <x:c r="A30" s="41" t="str">
        <x:v>C-24</x:v>
      </x:c>
      <x:c r="B30" s="62" t="str"/>
      <x:c r="C30" s="62" t="str"/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>
        <x:v>Not Started</x:v>
      </x:c>
    </x:row>
    <x:row r="31">
      <x:c r="A31" s="41" t="str">
        <x:v>C-25</x:v>
      </x:c>
      <x:c r="B31" s="62" t="str"/>
      <x:c r="C31" s="62" t="str"/>
      <x:c r="D31" s="62" t="str"/>
      <x:c r="E31" s="62" t="str"/>
      <x:c r="F31" s="62" t="str"/>
      <x:c r="G31" s="62" t="str"/>
      <x:c r="H31" s="62" t="str"/>
      <x:c r="I31" s="62" t="str"/>
      <x:c r="J31" s="62" t="str"/>
      <x:c r="K31" s="62" t="str"/>
      <x:c r="L31" s="62" t="str">
        <x:v>Not Started</x:v>
      </x:c>
    </x:row>
  </x:sheetData>
  <x:mergeCells>
    <x:mergeCell ref="A1:L1"/>
    <x:mergeCell ref="A2:L2"/>
    <x:mergeCell ref="A4:L4"/>
  </x:mergeCells>
  <x:dataValidations count="1">
    <x:dataValidation type="list" sqref="L7:L31">
      <x:formula1>"Not Started,In Progress,Complete,Blocked,N/A"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38" hidden="0" customWidth="1"/>
    <x:col min="4" max="4" width="17" hidden="0" customWidth="1"/>
    <x:col min="5" max="5" width="30" hidden="0" customWidth="1"/>
    <x:col min="6" max="6" width="18" hidden="0" customWidth="1"/>
    <x:col min="7" max="7" width="34" hidden="0" customWidth="1"/>
    <x:col min="8" max="8" width="15" hidden="0" customWidth="1"/>
    <x:col min="9" max="9" width="18" hidden="0" customWidth="1"/>
    <x:col min="10" max="10" width="30" hidden="0" customWidth="1"/>
  </x:cols>
  <x:sheetData>
    <x:row r="1" ht="30" customHeight="1">
      <x:c r="A1" s="3" t="str">
        <x:v>RAID and Decision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7" t="str">
        <x:v>One controlled trail for risks, assumptions, issues and decisions.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 ht="30" customHeight="1">
      <x:c r="A4" s="45" t="str">
        <x:v>ID</x:v>
      </x:c>
      <x:c r="B4" s="45" t="str">
        <x:v>Type</x:v>
      </x:c>
      <x:c r="C4" s="45" t="str">
        <x:v>Statement</x:v>
      </x:c>
      <x:c r="D4" s="45" t="str">
        <x:v>Related IDs</x:v>
      </x:c>
      <x:c r="E4" s="45" t="str">
        <x:v>Impact / consequence</x:v>
      </x:c>
      <x:c r="F4" s="45" t="str">
        <x:v>Owner</x:v>
      </x:c>
      <x:c r="G4" s="45" t="str">
        <x:v>Action / decision</x:v>
      </x:c>
      <x:c r="H4" s="45" t="str">
        <x:v>Due date</x:v>
      </x:c>
      <x:c r="I4" s="45" t="str">
        <x:v>Status</x:v>
      </x:c>
      <x:c r="J4" s="45" t="str">
        <x:v>Evidence / note</x:v>
      </x:c>
    </x:row>
    <x:row r="5">
      <x:c r="A5" s="41" t="str">
        <x:v>R-01</x:v>
      </x:c>
      <x:c r="B5" s="62" t="str"/>
      <x:c r="C5" s="62" t="str"/>
      <x:c r="D5" s="62" t="str"/>
      <x:c r="E5" s="62" t="str"/>
      <x:c r="F5" s="62" t="str"/>
      <x:c r="G5" s="62" t="str"/>
      <x:c r="H5" s="63" t="str"/>
      <x:c r="I5" s="62" t="str">
        <x:v>Not Started</x:v>
      </x:c>
      <x:c r="J5" s="62" t="str"/>
    </x:row>
    <x:row r="6">
      <x:c r="A6" s="41" t="str">
        <x:v>R-02</x:v>
      </x:c>
      <x:c r="B6" s="62" t="str"/>
      <x:c r="C6" s="62" t="str"/>
      <x:c r="D6" s="62" t="str"/>
      <x:c r="E6" s="62" t="str"/>
      <x:c r="F6" s="62" t="str"/>
      <x:c r="G6" s="62" t="str"/>
      <x:c r="H6" s="63" t="str"/>
      <x:c r="I6" s="62" t="str">
        <x:v>Not Started</x:v>
      </x:c>
      <x:c r="J6" s="62" t="str"/>
    </x:row>
    <x:row r="7">
      <x:c r="A7" s="41" t="str">
        <x:v>R-03</x:v>
      </x:c>
      <x:c r="B7" s="62" t="str"/>
      <x:c r="C7" s="62" t="str"/>
      <x:c r="D7" s="62" t="str"/>
      <x:c r="E7" s="62" t="str"/>
      <x:c r="F7" s="62" t="str"/>
      <x:c r="G7" s="62" t="str"/>
      <x:c r="H7" s="63" t="str"/>
      <x:c r="I7" s="62" t="str">
        <x:v>Not Started</x:v>
      </x:c>
      <x:c r="J7" s="62" t="str"/>
    </x:row>
    <x:row r="8">
      <x:c r="A8" s="41" t="str">
        <x:v>R-04</x:v>
      </x:c>
      <x:c r="B8" s="62" t="str"/>
      <x:c r="C8" s="62" t="str"/>
      <x:c r="D8" s="62" t="str"/>
      <x:c r="E8" s="62" t="str"/>
      <x:c r="F8" s="62" t="str"/>
      <x:c r="G8" s="62" t="str"/>
      <x:c r="H8" s="63" t="str"/>
      <x:c r="I8" s="62" t="str">
        <x:v>Not Started</x:v>
      </x:c>
      <x:c r="J8" s="62" t="str"/>
    </x:row>
    <x:row r="9">
      <x:c r="A9" s="41" t="str">
        <x:v>R-05</x:v>
      </x:c>
      <x:c r="B9" s="62" t="str"/>
      <x:c r="C9" s="62" t="str"/>
      <x:c r="D9" s="62" t="str"/>
      <x:c r="E9" s="62" t="str"/>
      <x:c r="F9" s="62" t="str"/>
      <x:c r="G9" s="62" t="str"/>
      <x:c r="H9" s="63" t="str"/>
      <x:c r="I9" s="62" t="str">
        <x:v>Not Started</x:v>
      </x:c>
      <x:c r="J9" s="62" t="str"/>
    </x:row>
    <x:row r="10">
      <x:c r="A10" s="41" t="str">
        <x:v>R-06</x:v>
      </x:c>
      <x:c r="B10" s="62" t="str"/>
      <x:c r="C10" s="62" t="str"/>
      <x:c r="D10" s="62" t="str"/>
      <x:c r="E10" s="62" t="str"/>
      <x:c r="F10" s="62" t="str"/>
      <x:c r="G10" s="62" t="str"/>
      <x:c r="H10" s="63" t="str"/>
      <x:c r="I10" s="62" t="str">
        <x:v>Not Started</x:v>
      </x:c>
      <x:c r="J10" s="62" t="str"/>
    </x:row>
    <x:row r="11">
      <x:c r="A11" s="41" t="str">
        <x:v>R-07</x:v>
      </x:c>
      <x:c r="B11" s="62" t="str"/>
      <x:c r="C11" s="62" t="str"/>
      <x:c r="D11" s="62" t="str"/>
      <x:c r="E11" s="62" t="str"/>
      <x:c r="F11" s="62" t="str"/>
      <x:c r="G11" s="62" t="str"/>
      <x:c r="H11" s="63" t="str"/>
      <x:c r="I11" s="62" t="str">
        <x:v>Not Started</x:v>
      </x:c>
      <x:c r="J11" s="62" t="str"/>
    </x:row>
    <x:row r="12">
      <x:c r="A12" s="41" t="str">
        <x:v>R-08</x:v>
      </x:c>
      <x:c r="B12" s="62" t="str"/>
      <x:c r="C12" s="62" t="str"/>
      <x:c r="D12" s="62" t="str"/>
      <x:c r="E12" s="62" t="str"/>
      <x:c r="F12" s="62" t="str"/>
      <x:c r="G12" s="62" t="str"/>
      <x:c r="H12" s="63" t="str"/>
      <x:c r="I12" s="62" t="str">
        <x:v>Not Started</x:v>
      </x:c>
      <x:c r="J12" s="62" t="str"/>
    </x:row>
    <x:row r="13">
      <x:c r="A13" s="41" t="str">
        <x:v>R-09</x:v>
      </x:c>
      <x:c r="B13" s="62" t="str"/>
      <x:c r="C13" s="62" t="str"/>
      <x:c r="D13" s="62" t="str"/>
      <x:c r="E13" s="62" t="str"/>
      <x:c r="F13" s="62" t="str"/>
      <x:c r="G13" s="62" t="str"/>
      <x:c r="H13" s="63" t="str"/>
      <x:c r="I13" s="62" t="str">
        <x:v>Not Started</x:v>
      </x:c>
      <x:c r="J13" s="62" t="str"/>
    </x:row>
    <x:row r="14">
      <x:c r="A14" s="41" t="str">
        <x:v>R-10</x:v>
      </x:c>
      <x:c r="B14" s="62" t="str"/>
      <x:c r="C14" s="62" t="str"/>
      <x:c r="D14" s="62" t="str"/>
      <x:c r="E14" s="62" t="str"/>
      <x:c r="F14" s="62" t="str"/>
      <x:c r="G14" s="62" t="str"/>
      <x:c r="H14" s="63" t="str"/>
      <x:c r="I14" s="62" t="str">
        <x:v>Not Started</x:v>
      </x:c>
      <x:c r="J14" s="62" t="str"/>
    </x:row>
    <x:row r="15">
      <x:c r="A15" s="41" t="str">
        <x:v>R-11</x:v>
      </x:c>
      <x:c r="B15" s="62" t="str"/>
      <x:c r="C15" s="62" t="str"/>
      <x:c r="D15" s="62" t="str"/>
      <x:c r="E15" s="62" t="str"/>
      <x:c r="F15" s="62" t="str"/>
      <x:c r="G15" s="62" t="str"/>
      <x:c r="H15" s="63" t="str"/>
      <x:c r="I15" s="62" t="str">
        <x:v>Not Started</x:v>
      </x:c>
      <x:c r="J15" s="62" t="str"/>
    </x:row>
    <x:row r="16">
      <x:c r="A16" s="41" t="str">
        <x:v>R-12</x:v>
      </x:c>
      <x:c r="B16" s="62" t="str"/>
      <x:c r="C16" s="62" t="str"/>
      <x:c r="D16" s="62" t="str"/>
      <x:c r="E16" s="62" t="str"/>
      <x:c r="F16" s="62" t="str"/>
      <x:c r="G16" s="62" t="str"/>
      <x:c r="H16" s="63" t="str"/>
      <x:c r="I16" s="62" t="str">
        <x:v>Not Started</x:v>
      </x:c>
      <x:c r="J16" s="62" t="str"/>
    </x:row>
    <x:row r="17">
      <x:c r="A17" s="41" t="str">
        <x:v>R-13</x:v>
      </x:c>
      <x:c r="B17" s="62" t="str"/>
      <x:c r="C17" s="62" t="str"/>
      <x:c r="D17" s="62" t="str"/>
      <x:c r="E17" s="62" t="str"/>
      <x:c r="F17" s="62" t="str"/>
      <x:c r="G17" s="62" t="str"/>
      <x:c r="H17" s="63" t="str"/>
      <x:c r="I17" s="62" t="str">
        <x:v>Not Started</x:v>
      </x:c>
      <x:c r="J17" s="62" t="str"/>
    </x:row>
    <x:row r="18">
      <x:c r="A18" s="41" t="str">
        <x:v>R-14</x:v>
      </x:c>
      <x:c r="B18" s="62" t="str"/>
      <x:c r="C18" s="62" t="str"/>
      <x:c r="D18" s="62" t="str"/>
      <x:c r="E18" s="62" t="str"/>
      <x:c r="F18" s="62" t="str"/>
      <x:c r="G18" s="62" t="str"/>
      <x:c r="H18" s="63" t="str"/>
      <x:c r="I18" s="62" t="str">
        <x:v>Not Started</x:v>
      </x:c>
      <x:c r="J18" s="62" t="str"/>
    </x:row>
    <x:row r="19">
      <x:c r="A19" s="41" t="str">
        <x:v>R-15</x:v>
      </x:c>
      <x:c r="B19" s="62" t="str"/>
      <x:c r="C19" s="62" t="str"/>
      <x:c r="D19" s="62" t="str"/>
      <x:c r="E19" s="62" t="str"/>
      <x:c r="F19" s="62" t="str"/>
      <x:c r="G19" s="62" t="str"/>
      <x:c r="H19" s="63" t="str"/>
      <x:c r="I19" s="62" t="str">
        <x:v>Not Started</x:v>
      </x:c>
      <x:c r="J19" s="62" t="str"/>
    </x:row>
    <x:row r="20">
      <x:c r="A20" s="41" t="str">
        <x:v>R-16</x:v>
      </x:c>
      <x:c r="B20" s="62" t="str"/>
      <x:c r="C20" s="62" t="str"/>
      <x:c r="D20" s="62" t="str"/>
      <x:c r="E20" s="62" t="str"/>
      <x:c r="F20" s="62" t="str"/>
      <x:c r="G20" s="62" t="str"/>
      <x:c r="H20" s="63" t="str"/>
      <x:c r="I20" s="62" t="str">
        <x:v>Not Started</x:v>
      </x:c>
      <x:c r="J20" s="62" t="str"/>
    </x:row>
    <x:row r="21">
      <x:c r="A21" s="41" t="str">
        <x:v>R-17</x:v>
      </x:c>
      <x:c r="B21" s="62" t="str"/>
      <x:c r="C21" s="62" t="str"/>
      <x:c r="D21" s="62" t="str"/>
      <x:c r="E21" s="62" t="str"/>
      <x:c r="F21" s="62" t="str"/>
      <x:c r="G21" s="62" t="str"/>
      <x:c r="H21" s="63" t="str"/>
      <x:c r="I21" s="62" t="str">
        <x:v>Not Started</x:v>
      </x:c>
      <x:c r="J21" s="62" t="str"/>
    </x:row>
    <x:row r="22">
      <x:c r="A22" s="41" t="str">
        <x:v>R-18</x:v>
      </x:c>
      <x:c r="B22" s="62" t="str"/>
      <x:c r="C22" s="62" t="str"/>
      <x:c r="D22" s="62" t="str"/>
      <x:c r="E22" s="62" t="str"/>
      <x:c r="F22" s="62" t="str"/>
      <x:c r="G22" s="62" t="str"/>
      <x:c r="H22" s="63" t="str"/>
      <x:c r="I22" s="62" t="str">
        <x:v>Not Started</x:v>
      </x:c>
      <x:c r="J22" s="62" t="str"/>
    </x:row>
    <x:row r="23">
      <x:c r="A23" s="41" t="str">
        <x:v>R-19</x:v>
      </x:c>
      <x:c r="B23" s="62" t="str"/>
      <x:c r="C23" s="62" t="str"/>
      <x:c r="D23" s="62" t="str"/>
      <x:c r="E23" s="62" t="str"/>
      <x:c r="F23" s="62" t="str"/>
      <x:c r="G23" s="62" t="str"/>
      <x:c r="H23" s="63" t="str"/>
      <x:c r="I23" s="62" t="str">
        <x:v>Not Started</x:v>
      </x:c>
      <x:c r="J23" s="62" t="str"/>
    </x:row>
    <x:row r="24">
      <x:c r="A24" s="41" t="str">
        <x:v>R-20</x:v>
      </x:c>
      <x:c r="B24" s="62" t="str"/>
      <x:c r="C24" s="62" t="str"/>
      <x:c r="D24" s="62" t="str"/>
      <x:c r="E24" s="62" t="str"/>
      <x:c r="F24" s="62" t="str"/>
      <x:c r="G24" s="62" t="str"/>
      <x:c r="H24" s="63" t="str"/>
      <x:c r="I24" s="62" t="str">
        <x:v>Not Started</x:v>
      </x:c>
      <x:c r="J24" s="62" t="str"/>
    </x:row>
    <x:row r="25">
      <x:c r="A25" s="41" t="str">
        <x:v>R-21</x:v>
      </x:c>
      <x:c r="B25" s="62" t="str"/>
      <x:c r="C25" s="62" t="str"/>
      <x:c r="D25" s="62" t="str"/>
      <x:c r="E25" s="62" t="str"/>
      <x:c r="F25" s="62" t="str"/>
      <x:c r="G25" s="62" t="str"/>
      <x:c r="H25" s="63" t="str"/>
      <x:c r="I25" s="62" t="str">
        <x:v>Not Started</x:v>
      </x:c>
      <x:c r="J25" s="62" t="str"/>
    </x:row>
    <x:row r="26">
      <x:c r="A26" s="41" t="str">
        <x:v>R-22</x:v>
      </x:c>
      <x:c r="B26" s="62" t="str"/>
      <x:c r="C26" s="62" t="str"/>
      <x:c r="D26" s="62" t="str"/>
      <x:c r="E26" s="62" t="str"/>
      <x:c r="F26" s="62" t="str"/>
      <x:c r="G26" s="62" t="str"/>
      <x:c r="H26" s="63" t="str"/>
      <x:c r="I26" s="62" t="str">
        <x:v>Not Started</x:v>
      </x:c>
      <x:c r="J26" s="62" t="str"/>
    </x:row>
    <x:row r="27">
      <x:c r="A27" s="41" t="str">
        <x:v>R-23</x:v>
      </x:c>
      <x:c r="B27" s="62" t="str"/>
      <x:c r="C27" s="62" t="str"/>
      <x:c r="D27" s="62" t="str"/>
      <x:c r="E27" s="62" t="str"/>
      <x:c r="F27" s="62" t="str"/>
      <x:c r="G27" s="62" t="str"/>
      <x:c r="H27" s="63" t="str"/>
      <x:c r="I27" s="62" t="str">
        <x:v>Not Started</x:v>
      </x:c>
      <x:c r="J27" s="62" t="str"/>
    </x:row>
    <x:row r="28">
      <x:c r="A28" s="41" t="str">
        <x:v>R-24</x:v>
      </x:c>
      <x:c r="B28" s="62" t="str"/>
      <x:c r="C28" s="62" t="str"/>
      <x:c r="D28" s="62" t="str"/>
      <x:c r="E28" s="62" t="str"/>
      <x:c r="F28" s="62" t="str"/>
      <x:c r="G28" s="62" t="str"/>
      <x:c r="H28" s="63" t="str"/>
      <x:c r="I28" s="62" t="str">
        <x:v>Not Started</x:v>
      </x:c>
      <x:c r="J28" s="62" t="str"/>
    </x:row>
    <x:row r="29">
      <x:c r="A29" s="41" t="str">
        <x:v>R-25</x:v>
      </x:c>
      <x:c r="B29" s="62" t="str"/>
      <x:c r="C29" s="62" t="str"/>
      <x:c r="D29" s="62" t="str"/>
      <x:c r="E29" s="62" t="str"/>
      <x:c r="F29" s="62" t="str"/>
      <x:c r="G29" s="62" t="str"/>
      <x:c r="H29" s="63" t="str"/>
      <x:c r="I29" s="62" t="str">
        <x:v>Not Started</x:v>
      </x:c>
      <x:c r="J29" s="62" t="str"/>
    </x:row>
  </x:sheetData>
  <x:mergeCells>
    <x:mergeCell ref="A1:J1"/>
    <x:mergeCell ref="A2:J2"/>
  </x:mergeCells>
  <x:dataValidations count="2">
    <x:dataValidation type="list" sqref="B5:B29">
      <x:formula1>"Risk,Assumption,Issue,Decision"</x:formula1>
    </x:dataValidation>
    <x:dataValidation type="list" sqref="I5:I29">
      <x:formula1>"Not Started,In Progress,Complete,Blocked,N/A"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60" hidden="0" customWidth="1"/>
    <x:col min="4" max="4" width="24" hidden="0" customWidth="1"/>
    <x:col min="5" max="5" width="18" hidden="0" customWidth="1"/>
    <x:col min="6" max="6" width="38" hidden="0" customWidth="1"/>
  </x:cols>
  <x:sheetData>
    <x:row r="1" ht="30" customHeight="1">
      <x:c r="A1" s="3" t="str">
        <x:v>Deliverables Quality Review</x:v>
      </x:c>
      <x:c r="B1" s="3"/>
      <x:c r="C1" s="3"/>
      <x:c r="D1" s="3"/>
      <x:c r="E1" s="3"/>
      <x:c r="F1" s="3"/>
    </x:row>
    <x:row r="2" ht="27" customHeight="1">
      <x:c r="A2" s="7" t="str">
        <x:v>Complete before client draft issue. Required items must be complete or have an approved disposition.</x:v>
      </x:c>
      <x:c r="B2" s="7"/>
      <x:c r="C2" s="7"/>
      <x:c r="D2" s="7"/>
      <x:c r="E2" s="7"/>
      <x:c r="F2" s="7"/>
    </x:row>
    <x:row r="3">
      <x:c r="A3" s="72"/>
      <x:c r="B3" s="72"/>
      <x:c r="C3" s="72"/>
      <x:c r="D3" s="72"/>
      <x:c r="E3" s="72"/>
      <x:c r="F3" s="72"/>
    </x:row>
    <x:row r="4">
      <x:c r="A4" s="41" t="str">
        <x:v>Completion</x:v>
      </x:c>
      <x:c r="B4" s="16" t="n">
        <x:f>COUNTIF(E7:E22,"Complete")/COUNTA(A7:A22)</x:f>
        <x:v>0</x:v>
      </x:c>
      <x:c r="C4" s="72"/>
      <x:c r="D4" s="41" t="str">
        <x:v>Overall</x:v>
      </x:c>
      <x:c r="E4" s="26" t="str">
        <x:f>IF(COUNTIF(E7:E22,"Blocked")&gt;0,"BLOCKED",IF(COUNTIF(E7:E22,"Not Started")+COUNTIF(E7:E22,"In Progress")&gt;0,"NOT READY","READY TO ISSUE"))</x:f>
        <x:v>NOT READY</x:v>
      </x:c>
      <x:c r="F4" s="72"/>
    </x:row>
    <x:row r="5">
      <x:c r="A5" s="72"/>
      <x:c r="B5" s="72"/>
      <x:c r="C5" s="72"/>
      <x:c r="D5" s="72"/>
      <x:c r="E5" s="72"/>
      <x:c r="F5" s="72"/>
    </x:row>
    <x:row r="6" ht="30" customHeight="1">
      <x:c r="A6" s="45" t="str">
        <x:v>QA ID</x:v>
      </x:c>
      <x:c r="B6" s="45" t="str">
        <x:v>Area</x:v>
      </x:c>
      <x:c r="C6" s="45" t="str">
        <x:v>Check</x:v>
      </x:c>
      <x:c r="D6" s="45" t="str">
        <x:v>Owner</x:v>
      </x:c>
      <x:c r="E6" s="45" t="str">
        <x:v>Status</x:v>
      </x:c>
      <x:c r="F6" s="45" t="str">
        <x:v>Evidence / issue disposition</x:v>
      </x:c>
    </x:row>
    <x:row r="7" ht="34" customHeight="1">
      <x:c r="A7" s="41" t="str">
        <x:v>QA-01</x:v>
      </x:c>
      <x:c r="B7" s="46" t="str">
        <x:v>Scope</x:v>
      </x:c>
      <x:c r="C7" s="46" t="str">
        <x:v>One workflow; correct start/end; exclusions and special conditions honoured.</x:v>
      </x:c>
      <x:c r="D7" s="46" t="str">
        <x:v>Engagement Lead</x:v>
      </x:c>
      <x:c r="E7" s="62" t="str">
        <x:v>Not Started</x:v>
      </x:c>
      <x:c r="F7" s="62" t="str"/>
    </x:row>
    <x:row r="8" ht="34" customHeight="1">
      <x:c r="A8" s="41" t="str">
        <x:v>QA-02</x:v>
      </x:c>
      <x:c r="B8" s="46" t="str">
        <x:v>Current-state map</x:v>
      </x:c>
      <x:c r="C8" s="46" t="str">
        <x:v>Covers agreed start/end, material roles, handovers, decisions and known pain points.</x:v>
      </x:c>
      <x:c r="D8" s="46" t="str">
        <x:v>Quality Reviewer</x:v>
      </x:c>
      <x:c r="E8" s="62" t="str">
        <x:v>Not Started</x:v>
      </x:c>
      <x:c r="F8" s="62" t="str"/>
    </x:row>
    <x:row r="9" ht="34" customHeight="1">
      <x:c r="A9" s="41" t="str">
        <x:v>QA-03</x:v>
      </x:c>
      <x:c r="B9" s="46" t="str">
        <x:v>Future-state map</x:v>
      </x:c>
      <x:c r="C9" s="46" t="str">
        <x:v>Shows recommended ownership, controls and material changes at a practical level.</x:v>
      </x:c>
      <x:c r="D9" s="46" t="str">
        <x:v>Quality Reviewer</x:v>
      </x:c>
      <x:c r="E9" s="62" t="str">
        <x:v>Not Started</x:v>
      </x:c>
      <x:c r="F9" s="62" t="str"/>
    </x:row>
    <x:row r="10" ht="34" customHeight="1">
      <x:c r="A10" s="41" t="str">
        <x:v>QA-04</x:v>
      </x:c>
      <x:c r="B10" s="46" t="str">
        <x:v>Opportunity list</x:v>
      </x:c>
      <x:c r="C10" s="46" t="str">
        <x:v>Prioritised with rationale, dependencies and a high-level option for each material item.</x:v>
      </x:c>
      <x:c r="D10" s="46" t="str">
        <x:v>Quality Reviewer</x:v>
      </x:c>
      <x:c r="E10" s="62" t="str">
        <x:v>Not Started</x:v>
      </x:c>
      <x:c r="F10" s="62" t="str"/>
    </x:row>
    <x:row r="11" ht="34" customHeight="1">
      <x:c r="A11" s="41" t="str">
        <x:v>QA-05</x:v>
      </x:c>
      <x:c r="B11" s="46" t="str">
        <x:v>Report</x:v>
      </x:c>
      <x:c r="C11" s="46" t="str">
        <x:v>Addresses the agreed workflow and distinguishes evidence, assumptions and recommendations.</x:v>
      </x:c>
      <x:c r="D11" s="46" t="str">
        <x:v>Quality Reviewer</x:v>
      </x:c>
      <x:c r="E11" s="62" t="str">
        <x:v>Not Started</x:v>
      </x:c>
      <x:c r="F11" s="62" t="str"/>
    </x:row>
    <x:row r="12" ht="34" customHeight="1">
      <x:c r="A12" s="41" t="str">
        <x:v>QA-06</x:v>
      </x:c>
      <x:c r="B12" s="46" t="str">
        <x:v>Evidence</x:v>
      </x:c>
      <x:c r="C12" s="46" t="str">
        <x:v>Each material finding is traceable and confidence is visible.</x:v>
      </x:c>
      <x:c r="D12" s="46" t="str">
        <x:v>Analyst</x:v>
      </x:c>
      <x:c r="E12" s="62" t="str">
        <x:v>Not Started</x:v>
      </x:c>
      <x:c r="F12" s="62" t="str"/>
    </x:row>
    <x:row r="13" ht="34" customHeight="1">
      <x:c r="A13" s="41" t="str">
        <x:v>QA-07</x:v>
      </x:c>
      <x:c r="B13" s="46" t="str">
        <x:v>Logic</x:v>
      </x:c>
      <x:c r="C13" s="46" t="str">
        <x:v>Recommendations address root causes and priorities follow the recorded model.</x:v>
      </x:c>
      <x:c r="D13" s="46" t="str">
        <x:v>Quality Reviewer</x:v>
      </x:c>
      <x:c r="E13" s="62" t="str">
        <x:v>Not Started</x:v>
      </x:c>
      <x:c r="F13" s="62" t="str"/>
    </x:row>
    <x:row r="14" ht="34" customHeight="1">
      <x:c r="A14" s="41" t="str">
        <x:v>QA-08</x:v>
      </x:c>
      <x:c r="B14" s="46" t="str">
        <x:v>Consistency</x:v>
      </x:c>
      <x:c r="C14" s="46" t="str">
        <x:v>Workbook, maps, report and deck use the same IDs, facts, priorities and next steps.</x:v>
      </x:c>
      <x:c r="D14" s="46" t="str">
        <x:v>Analyst</x:v>
      </x:c>
      <x:c r="E14" s="62" t="str">
        <x:v>Not Started</x:v>
      </x:c>
      <x:c r="F14" s="62" t="str"/>
    </x:row>
    <x:row r="15" ht="34" customHeight="1">
      <x:c r="A15" s="41" t="str">
        <x:v>QA-09</x:v>
      </x:c>
      <x:c r="B15" s="46" t="str">
        <x:v>Privacy</x:v>
      </x:c>
      <x:c r="C15" s="46" t="str">
        <x:v>No unnecessary identifiers; approved repository, access and AI settings used.</x:v>
      </x:c>
      <x:c r="D15" s="46" t="str">
        <x:v>Privacy / Security Reviewer</x:v>
      </x:c>
      <x:c r="E15" s="62" t="str">
        <x:v>Not Started</x:v>
      </x:c>
      <x:c r="F15" s="62" t="str"/>
    </x:row>
    <x:row r="16" ht="34" customHeight="1">
      <x:c r="A16" s="41" t="str">
        <x:v>QA-10</x:v>
      </x:c>
      <x:c r="B16" s="46" t="str">
        <x:v>Boundary</x:v>
      </x:c>
      <x:c r="C16" s="46" t="str">
        <x:v>No clinical, legal, tax, employment, regulatory, audit, registration or assurance claims.</x:v>
      </x:c>
      <x:c r="D16" s="46" t="str">
        <x:v>Quality Reviewer</x:v>
      </x:c>
      <x:c r="E16" s="62" t="str">
        <x:v>Not Started</x:v>
      </x:c>
      <x:c r="F16" s="62" t="str"/>
    </x:row>
    <x:row r="17" ht="34" customHeight="1">
      <x:c r="A17" s="41" t="str">
        <x:v>QA-11</x:v>
      </x:c>
      <x:c r="B17" s="46" t="str">
        <x:v>Claims</x:v>
      </x:c>
      <x:c r="C17" s="46" t="str">
        <x:v>No guaranteed savings, productivity, revenue, compliance or registration outcomes.</x:v>
      </x:c>
      <x:c r="D17" s="46" t="str">
        <x:v>Commercial Lead</x:v>
      </x:c>
      <x:c r="E17" s="62" t="str">
        <x:v>Not Started</x:v>
      </x:c>
      <x:c r="F17" s="62" t="str"/>
    </x:row>
    <x:row r="18" ht="34" customHeight="1">
      <x:c r="A18" s="41" t="str">
        <x:v>QA-12</x:v>
      </x:c>
      <x:c r="B18" s="46" t="str">
        <x:v>Usability</x:v>
      </x:c>
      <x:c r="C18" s="46" t="str">
        <x:v>Client can see ownership, decision, dependency and immediate next action.</x:v>
      </x:c>
      <x:c r="D18" s="46" t="str">
        <x:v>Quality Reviewer</x:v>
      </x:c>
      <x:c r="E18" s="62" t="str">
        <x:v>Not Started</x:v>
      </x:c>
      <x:c r="F18" s="62" t="str"/>
    </x:row>
    <x:row r="19" ht="34" customHeight="1">
      <x:c r="A19" s="41" t="str">
        <x:v>QA-13</x:v>
      </x:c>
      <x:c r="B19" s="46" t="str">
        <x:v>Presentation</x:v>
      </x:c>
      <x:c r="C19" s="46" t="str">
        <x:v>Readout focuses on decisions and has space to record material client questions.</x:v>
      </x:c>
      <x:c r="D19" s="46" t="str">
        <x:v>Engagement Lead</x:v>
      </x:c>
      <x:c r="E19" s="62" t="str">
        <x:v>Not Started</x:v>
      </x:c>
      <x:c r="F19" s="62" t="str"/>
    </x:row>
    <x:row r="20" ht="34" customHeight="1">
      <x:c r="A20" s="41" t="str">
        <x:v>QA-14</x:v>
      </x:c>
      <x:c r="B20" s="46" t="str">
        <x:v>Issue control</x:v>
      </x:c>
      <x:c r="C20" s="46" t="str">
        <x:v>Versions, file names, classification and repository permissions are correct.</x:v>
      </x:c>
      <x:c r="D20" s="46" t="str">
        <x:v>Analyst</x:v>
      </x:c>
      <x:c r="E20" s="62" t="str">
        <x:v>Not Started</x:v>
      </x:c>
      <x:c r="F20" s="62" t="str"/>
    </x:row>
    <x:row r="21" ht="34" customHeight="1">
      <x:c r="A21" s="41" t="str">
        <x:v>QA-15</x:v>
      </x:c>
      <x:c r="B21" s="46" t="str">
        <x:v>Review</x:v>
      </x:c>
      <x:c r="C21" s="46" t="str">
        <x:v>Independent reviewer and issue approval are recorded.</x:v>
      </x:c>
      <x:c r="D21" s="46" t="str">
        <x:v>Quality Reviewer</x:v>
      </x:c>
      <x:c r="E21" s="62" t="str">
        <x:v>Not Started</x:v>
      </x:c>
      <x:c r="F21" s="62" t="str"/>
    </x:row>
    <x:row r="22" ht="34" customHeight="1">
      <x:c r="A22" s="41" t="str">
        <x:v>QA-16</x:v>
      </x:c>
      <x:c r="B22" s="46" t="str">
        <x:v>Acceptance</x:v>
      </x:c>
      <x:c r="C22" s="46" t="str">
        <x:v>Every Order Form acceptance criterion is demonstrably met.</x:v>
      </x:c>
      <x:c r="D22" s="46" t="str">
        <x:v>Engagement Lead</x:v>
      </x:c>
      <x:c r="E22" s="62" t="str">
        <x:v>Not Started</x:v>
      </x:c>
      <x:c r="F22" s="62" t="str"/>
    </x:row>
  </x:sheetData>
  <x:mergeCells>
    <x:mergeCell ref="A1:F1"/>
    <x:mergeCell ref="A2:F2"/>
  </x:mergeCells>
  <x:dataValidations count="1">
    <x:dataValidation type="list" sqref="E7:E22">
      <x:formula1>"Not Started,In Progress,Complete,Blocked,N/A"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25" hidden="0" customWidth="1"/>
    <x:col min="5" max="5" width="18" hidden="0" customWidth="1"/>
    <x:col min="6" max="6" width="32" hidden="0" customWidth="1"/>
  </x:cols>
  <x:sheetData>
    <x:row r="1" ht="30" customHeight="1">
      <x:c r="A1" s="3" t="str">
        <x:v>Acceptance and Closeout</x:v>
      </x:c>
      <x:c r="B1" s="3"/>
      <x:c r="C1" s="3"/>
      <x:c r="D1" s="3"/>
      <x:c r="E1" s="3"/>
      <x:c r="F1" s="3"/>
    </x:row>
    <x:row r="2" ht="27" customHeight="1">
      <x:c r="A2" s="7" t="str">
        <x:v>Record the correction round, final issue, acceptance, handover, access closure and data disposition.</x:v>
      </x:c>
      <x:c r="B2" s="7"/>
      <x:c r="C2" s="7"/>
      <x:c r="D2" s="7"/>
      <x:c r="E2" s="7"/>
      <x:c r="F2" s="7"/>
    </x:row>
    <x:row r="3">
      <x:c r="A3" s="72"/>
      <x:c r="B3" s="72"/>
      <x:c r="C3" s="72"/>
      <x:c r="D3" s="72"/>
      <x:c r="E3" s="72"/>
      <x:c r="F3" s="72"/>
    </x:row>
    <x:row r="4" ht="32" customHeight="1">
      <x:c r="A4" s="55" t="str">
        <x:v>Any implementation, configuration or new diagnostic work requires a separate signed scope. Closeout does not assume follow-on work.</x:v>
      </x:c>
      <x:c r="B4" s="56"/>
      <x:c r="C4" s="56"/>
      <x:c r="D4" s="56"/>
      <x:c r="E4" s="56"/>
      <x:c r="F4" s="57"/>
    </x:row>
    <x:row r="5">
      <x:c r="A5" s="72"/>
      <x:c r="B5" s="72"/>
      <x:c r="C5" s="72"/>
      <x:c r="D5" s="72"/>
      <x:c r="E5" s="72"/>
      <x:c r="F5" s="72"/>
    </x:row>
    <x:row r="6" ht="30" customHeight="1">
      <x:c r="A6" s="45" t="str">
        <x:v>ID</x:v>
      </x:c>
      <x:c r="B6" s="45" t="str">
        <x:v>Control</x:v>
      </x:c>
      <x:c r="C6" s="45" t="str">
        <x:v>Required evidence</x:v>
      </x:c>
      <x:c r="D6" s="45" t="str">
        <x:v>Owner</x:v>
      </x:c>
      <x:c r="E6" s="45" t="str">
        <x:v>Status</x:v>
      </x:c>
      <x:c r="F6" s="45" t="str">
        <x:v>Date / note</x:v>
      </x:c>
    </x:row>
    <x:row r="7" ht="30" customHeight="1">
      <x:c r="A7" s="41" t="str">
        <x:v>CL-01</x:v>
      </x:c>
      <x:c r="B7" s="46" t="str">
        <x:v>Findings presentation</x:v>
      </x:c>
      <x:c r="C7" s="46" t="str">
        <x:v>Attendance and material client questions recorded.</x:v>
      </x:c>
      <x:c r="D7" s="46" t="str">
        <x:v>Engagement Lead</x:v>
      </x:c>
      <x:c r="E7" s="62" t="str">
        <x:v>Not Started</x:v>
      </x:c>
      <x:c r="F7" s="63" t="str"/>
    </x:row>
    <x:row r="8" ht="30" customHeight="1">
      <x:c r="A8" s="41" t="str">
        <x:v>CL-02</x:v>
      </x:c>
      <x:c r="B8" s="46" t="str">
        <x:v>Client review</x:v>
      </x:c>
      <x:c r="C8" s="46" t="str">
        <x:v>Five-business-day review response or agreed extension recorded.</x:v>
      </x:c>
      <x:c r="D8" s="46" t="str">
        <x:v>Client Project Owner</x:v>
      </x:c>
      <x:c r="E8" s="62" t="str">
        <x:v>Not Started</x:v>
      </x:c>
      <x:c r="F8" s="63" t="str"/>
    </x:row>
    <x:row r="9" ht="30" customHeight="1">
      <x:c r="A9" s="41" t="str">
        <x:v>CL-03</x:v>
      </x:c>
      <x:c r="B9" s="46" t="str">
        <x:v>Feedback classification</x:v>
      </x:c>
      <x:c r="C9" s="46" t="str">
        <x:v>Items classified as factual correction, non-conformity, preference or new scope.</x:v>
      </x:c>
      <x:c r="D9" s="46" t="str">
        <x:v>Engagement Lead</x:v>
      </x:c>
      <x:c r="E9" s="62" t="str">
        <x:v>Not Started</x:v>
      </x:c>
      <x:c r="F9" s="63" t="str"/>
    </x:row>
    <x:row r="10" ht="30" customHeight="1">
      <x:c r="A10" s="41" t="str">
        <x:v>CL-04</x:v>
      </x:c>
      <x:c r="B10" s="46" t="str">
        <x:v>Correction round</x:v>
      </x:c>
      <x:c r="C10" s="46" t="str">
        <x:v>One consolidated reasonable correction round completed or waived.</x:v>
      </x:c>
      <x:c r="D10" s="46" t="str">
        <x:v>Analyst</x:v>
      </x:c>
      <x:c r="E10" s="62" t="str">
        <x:v>Not Started</x:v>
      </x:c>
      <x:c r="F10" s="63" t="str"/>
    </x:row>
    <x:row r="11" ht="30" customHeight="1">
      <x:c r="A11" s="41" t="str">
        <x:v>CL-05</x:v>
      </x:c>
      <x:c r="B11" s="46" t="str">
        <x:v>Final issue</x:v>
      </x:c>
      <x:c r="C11" s="46" t="str">
        <x:v>Final maps, opportunity list, report, deck and editable files issued.</x:v>
      </x:c>
      <x:c r="D11" s="46" t="str">
        <x:v>Engagement Lead</x:v>
      </x:c>
      <x:c r="E11" s="62" t="str">
        <x:v>Not Started</x:v>
      </x:c>
      <x:c r="F11" s="63" t="str"/>
    </x:row>
    <x:row r="12" ht="30" customHeight="1">
      <x:c r="A12" s="41" t="str">
        <x:v>CL-06</x:v>
      </x:c>
      <x:c r="B12" s="46" t="str">
        <x:v>Acceptance</x:v>
      </x:c>
      <x:c r="C12" s="46" t="str">
        <x:v>Deliverable Review and Acceptance completed.</x:v>
      </x:c>
      <x:c r="D12" s="46" t="str">
        <x:v>Client Project Owner</x:v>
      </x:c>
      <x:c r="E12" s="62" t="str">
        <x:v>Not Started</x:v>
      </x:c>
      <x:c r="F12" s="63" t="str"/>
    </x:row>
    <x:row r="13" ht="30" customHeight="1">
      <x:c r="A13" s="41" t="str">
        <x:v>CL-07</x:v>
      </x:c>
      <x:c r="B13" s="46" t="str">
        <x:v>Handover</x:v>
      </x:c>
      <x:c r="C13" s="46" t="str">
        <x:v>Handover location, known limitations and open actions recorded.</x:v>
      </x:c>
      <x:c r="D13" s="46" t="str">
        <x:v>Engagement Lead</x:v>
      </x:c>
      <x:c r="E13" s="62" t="str">
        <x:v>Not Started</x:v>
      </x:c>
      <x:c r="F13" s="63" t="str"/>
    </x:row>
    <x:row r="14" ht="30" customHeight="1">
      <x:c r="A14" s="41" t="str">
        <x:v>CL-08</x:v>
      </x:c>
      <x:c r="B14" s="46" t="str">
        <x:v>Access removal</x:v>
      </x:c>
      <x:c r="C14" s="46" t="str">
        <x:v>Named-user, admin, API and temporary access removed.</x:v>
      </x:c>
      <x:c r="D14" s="46" t="str">
        <x:v>Privacy / Security Reviewer</x:v>
      </x:c>
      <x:c r="E14" s="62" t="str">
        <x:v>Not Started</x:v>
      </x:c>
      <x:c r="F14" s="63" t="str"/>
    </x:row>
    <x:row r="15" ht="30" customHeight="1">
      <x:c r="A15" s="41" t="str">
        <x:v>CL-09</x:v>
      </x:c>
      <x:c r="B15" s="46" t="str">
        <x:v>Credentials</x:v>
      </x:c>
      <x:c r="C15" s="46" t="str">
        <x:v>Required secrets rotated; no credentials copied into this workbook.</x:v>
      </x:c>
      <x:c r="D15" s="46" t="str">
        <x:v>Client Project Owner</x:v>
      </x:c>
      <x:c r="E15" s="62" t="str">
        <x:v>Not Started</x:v>
      </x:c>
      <x:c r="F15" s="63" t="str"/>
    </x:row>
    <x:row r="16" ht="30" customHeight="1">
      <x:c r="A16" s="41" t="str">
        <x:v>CL-10</x:v>
      </x:c>
      <x:c r="B16" s="46" t="str">
        <x:v>Data disposition</x:v>
      </x:c>
      <x:c r="C16" s="46" t="str">
        <x:v>Client Data returned or securely deleted as agreed.</x:v>
      </x:c>
      <x:c r="D16" s="46" t="str">
        <x:v>Privacy / Security Reviewer</x:v>
      </x:c>
      <x:c r="E16" s="62" t="str">
        <x:v>Not Started</x:v>
      </x:c>
      <x:c r="F16" s="63" t="str"/>
    </x:row>
    <x:row r="17" ht="30" customHeight="1">
      <x:c r="A17" s="41" t="str">
        <x:v>CL-11</x:v>
      </x:c>
      <x:c r="B17" s="46" t="str">
        <x:v>Backup exception</x:v>
      </x:c>
      <x:c r="C17" s="46" t="str">
        <x:v>Any backup retention exception and final deletion date recorded.</x:v>
      </x:c>
      <x:c r="D17" s="46" t="str">
        <x:v>Privacy / Security Reviewer</x:v>
      </x:c>
      <x:c r="E17" s="62" t="str">
        <x:v>Not Started</x:v>
      </x:c>
      <x:c r="F17" s="63" t="str"/>
    </x:row>
    <x:row r="18" ht="30" customHeight="1">
      <x:c r="A18" s="41" t="str">
        <x:v>CL-12</x:v>
      </x:c>
      <x:c r="B18" s="46" t="str">
        <x:v>Project record</x:v>
      </x:c>
      <x:c r="C18" s="46" t="str">
        <x:v>Signed documents, approvals, acceptance and closeout evidence filed.</x:v>
      </x:c>
      <x:c r="D18" s="46" t="str">
        <x:v>Engagement Lead</x:v>
      </x:c>
      <x:c r="E18" s="62" t="str">
        <x:v>Not Started</x:v>
      </x:c>
      <x:c r="F18" s="63" t="str"/>
    </x:row>
    <x:row r="19" ht="30" customHeight="1">
      <x:c r="A19" s="41" t="str">
        <x:v>CL-13</x:v>
      </x:c>
      <x:c r="B19" s="46" t="str">
        <x:v>Commercial close</x:v>
      </x:c>
      <x:c r="C19" s="46" t="str">
        <x:v>Invoice and approved expenses reconciled.</x:v>
      </x:c>
      <x:c r="D19" s="46" t="str">
        <x:v>Commercial Lead</x:v>
      </x:c>
      <x:c r="E19" s="62" t="str">
        <x:v>Not Started</x:v>
      </x:c>
      <x:c r="F19" s="63" t="str"/>
    </x:row>
    <x:row r="20" ht="30" customHeight="1">
      <x:c r="A20" s="41" t="str">
        <x:v>CL-14</x:v>
      </x:c>
      <x:c r="B20" s="46" t="str">
        <x:v>Separate next step</x:v>
      </x:c>
      <x:c r="C20" s="46" t="str">
        <x:v>Any proposed follow-on work is explicitly separate and not assumed.</x:v>
      </x:c>
      <x:c r="D20" s="46" t="str">
        <x:v>Commercial Lead</x:v>
      </x:c>
      <x:c r="E20" s="62" t="str">
        <x:v>Not Started</x:v>
      </x:c>
      <x:c r="F20" s="63" t="str"/>
    </x:row>
  </x:sheetData>
  <x:mergeCells>
    <x:mergeCell ref="A1:F1"/>
    <x:mergeCell ref="A2:F2"/>
    <x:mergeCell ref="A4:F4"/>
  </x:mergeCells>
  <x:dataValidations count="1">
    <x:dataValidation type="list" sqref="E7:E20">
      <x:formula1>"Not Started,In Progress,Complete,Blocked,N/A"</x:formula1>
    </x:dataValidation>
  </x:dataValidations>
  <x:pageMargins left="0.7" right="0.7" top="0.75" bottom="0.75" header="0.3" footer="0.3"/>
</x:worksheet>
</file>