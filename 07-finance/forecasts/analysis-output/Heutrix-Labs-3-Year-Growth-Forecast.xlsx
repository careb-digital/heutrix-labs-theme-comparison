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003165488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50acf4afcb43de"/>
    <x:sheet xmlns:r="http://schemas.openxmlformats.org/officeDocument/2006/relationships" name="Assumptions" sheetId="2" r:id="R22340968191b472d"/>
    <x:sheet xmlns:r="http://schemas.openxmlformats.org/officeDocument/2006/relationships" name="Forecast" sheetId="3" r:id="R798240dbae1e4582"/>
    <x:sheet xmlns:r="http://schemas.openxmlformats.org/officeDocument/2006/relationships" name="Base Quarterly" sheetId="4" r:id="R8f727fdb61634411"/>
    <x:sheet xmlns:r="http://schemas.openxmlformats.org/officeDocument/2006/relationships" name="Pricing Gap" sheetId="5" r:id="Rbc386317619843f0"/>
    <x:sheet xmlns:r="http://schemas.openxmlformats.org/officeDocument/2006/relationships" name="Market Evidence" sheetId="6" r:id="R5513954c99c24a18"/>
    <x:sheet xmlns:r="http://schemas.openxmlformats.org/officeDocument/2006/relationships" name="Funnel &amp; Capacity" sheetId="7" r:id="R3970f6bcf0fa4dfd"/>
    <x:sheet xmlns:r="http://schemas.openxmlformats.org/officeDocument/2006/relationships" name="Checks" sheetId="8" r:id="Rf06422e3208048ae"/>
    <x:sheet xmlns:r="http://schemas.openxmlformats.org/officeDocument/2006/relationships" name="Sources" sheetId="9" r:id="Rf2cf78ad63f149c5"/>
  </x:sheets>
</x:workbook>
</file>

<file path=xl/comments1.xml><?xml version="1.0" encoding="utf-8"?>
<x:comments xmlns:x="http://schemas.openxmlformats.org/spreadsheetml/2006/main">
  <x:authors>
    <x:author>tc={A6049A6D-041F-4CA4-A6EE-745DD7E06193}</x:author>
    <x:author>tc={8C02213A-5049-4DB0-BB89-73CEF86A67B5}</x:author>
    <x:author>tc={472677C9-9C3B-4AB9-B68A-29C6DD8F76E5}</x:author>
    <x:author>tc={2ED770B8-7FFB-47CF-BBC0-58886B898945}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current public prices for Heutrix Diagnostics, Heutrix Workflow Transformation and Heutrix AI Guardrails, plus internal reference values for visibility-focused and expanded Workflow Transformation scopes. Support is not publicly priced, so B12 is set to zero.</x:t>
        </x:r>
      </x:text>
    </x:comment>
    <x:comment ref="C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target ASP within the launch-review price architecture; update after 5–10 paid proposals.</x:t>
        </x:r>
      </x:text>
    </x:comment>
    <x:comment ref="D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loaded cost estimate for a fully scoped, handover-ready delivery unit.</x:t>
        </x:r>
      </x:text>
    </x:comment>
    <x:comment ref="B2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gross-margin target from the local launch review.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#,##0.0;[Red](#,##0.0);-"/>
    <x:numFmt numFmtId="202" formatCode="#,##0;[Red](#,##0);-"/>
    <x:numFmt numFmtId="203" formatCode="0.0%;[Red](0.0%);-"/>
    <x:numFmt numFmtId="204" formatCode="0.0x;[Red](0.0x);-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D6D7E"/>
      <x:name val="Carlito"/>
    </x:font>
    <x:font>
      <x:b/>
      <x:sz val="11"/>
      <x:color rgb="FFFFFFFF"/>
      <x:name val="Carlito"/>
    </x:font>
    <x:font>
      <x:b/>
      <x:sz val="11"/>
      <x:color rgb="FF0B1F3A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6"/>
      <x:color rgb="FF1E8449"/>
      <x:name val="Carlito"/>
    </x:font>
    <x:font>
      <x:sz val="11"/>
      <x:color rgb="FF5D6D7E"/>
      <x:name val="Carlito"/>
    </x:font>
    <x:font>
      <x:b/>
      <x:sz val="20"/>
      <x:color rgb="FF0B1F3A"/>
      <x:name val="Carlito"/>
    </x:font>
    <x:font>
      <x:sz val="11"/>
      <x:color rgb="FF0B1F3A"/>
      <x:name val="Carlito"/>
    </x:font>
    <x:font>
      <x:b/>
      <x:sz val="12"/>
      <x:color rgb="FF0B1F3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3F6F8"/>
      </x:patternFill>
    </x:fill>
    <x:fill>
      <x:patternFill patternType="solid">
        <x:fgColor rgb="FF17375E"/>
      </x:patternFill>
    </x:fill>
    <x:fill>
      <x:patternFill patternType="solid">
        <x:fgColor rgb="FF8DE2C1"/>
      </x:patternFill>
    </x:fill>
    <x:fill>
      <x:patternFill patternType="solid">
        <x:fgColor rgb="FFFFFBEA"/>
      </x:patternFill>
    </x:fill>
    <x:fill>
      <x:patternFill patternType="solid">
        <x:fgColor rgb="FFE9F8F2"/>
      </x:patternFill>
    </x:fill>
    <x:fill>
      <x:patternFill patternType="solid">
        <x:fgColor rgb="FFEAF2FB"/>
      </x:patternFill>
    </x:fill>
    <x:fill>
      <x:patternFill patternType="solid">
        <x:fgColor rgb="FFE9F7EF"/>
      </x:patternFill>
    </x:fill>
    <x:fill>
      <x:patternFill patternType="solid">
        <x:fgColor rgb="FFFFFFFF"/>
      </x:patternFill>
    </x:fill>
  </x:fills>
  <x:borders count="20">
    <x:border/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</x:border>
    <x:border>
      <x:top style="thin">
        <x:color rgb="FFCCD6E0"/>
      </x:top>
    </x:border>
    <x:border>
      <x:right style="thin">
        <x:color rgb="FFCCD6E0"/>
      </x:right>
      <x:top style="thin">
        <x:color rgb="FFCCD6E0"/>
      </x:top>
    </x:border>
    <x:border>
      <x:left style="thin">
        <x:color rgb="FFCCD6E0"/>
      </x:left>
    </x:border>
    <x:border>
      <x:right style="thin">
        <x:color rgb="FFCCD6E0"/>
      </x:right>
    </x:border>
    <x:border>
      <x:left style="thin">
        <x:color rgb="FFCCD6E0"/>
      </x:left>
      <x:bottom style="thin">
        <x:color rgb="FFCCD6E0"/>
      </x:bottom>
    </x:border>
    <x:border>
      <x:bottom style="thin">
        <x:color rgb="FFCCD6E0"/>
      </x:bottom>
    </x:border>
    <x:border>
      <x:right style="thin">
        <x:color rgb="FFCCD6E0"/>
      </x:right>
      <x:bottom style="thin">
        <x:color rgb="FFCCD6E0"/>
      </x:bottom>
    </x:border>
    <x:border>
      <x:left style="medium">
        <x:color rgb="FF8DE2C1"/>
      </x:left>
      <x:top style="medium">
        <x:color rgb="FF8DE2C1"/>
      </x:top>
    </x:border>
    <x:border>
      <x:top style="medium">
        <x:color rgb="FF8DE2C1"/>
      </x:top>
    </x:border>
    <x:border>
      <x:right style="medium">
        <x:color rgb="FF8DE2C1"/>
      </x:right>
      <x:top style="medium">
        <x:color rgb="FF8DE2C1"/>
      </x:top>
    </x:border>
    <x:border>
      <x:left style="medium">
        <x:color rgb="FF8DE2C1"/>
      </x:left>
    </x:border>
    <x:border>
      <x:right style="medium">
        <x:color rgb="FF8DE2C1"/>
      </x:right>
    </x:border>
    <x:border>
      <x:left style="medium">
        <x:color rgb="FF8DE2C1"/>
      </x:left>
      <x:bottom style="medium">
        <x:color rgb="FF8DE2C1"/>
      </x:bottom>
    </x:border>
    <x:border>
      <x:bottom style="medium">
        <x:color rgb="FF8DE2C1"/>
      </x:bottom>
    </x:border>
    <x:border>
      <x:right style="medium">
        <x:color rgb="FF8DE2C1"/>
      </x:right>
      <x:bottom style="medium">
        <x:color rgb="FF8DE2C1"/>
      </x:bottom>
    </x:border>
  </x:borders>
  <x:cellStyleXfs count="1">
    <x:xf numFmtId="0" fontId="0" fillId="0" borderId="0"/>
  </x:cellStyleXfs>
  <x:cellXfs count="2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200" fontId="5" fillId="6" borderId="4" xfId="0" applyNumberFormat="1" applyFont="1" applyFill="1" applyBorder="1"/>
    <x:xf numFmtId="200" fontId="5" fillId="6" borderId="5" xfId="0" applyNumberFormat="1" applyFont="1" applyFill="1" applyBorder="1"/>
    <x:xf numFmtId="200" fontId="5" fillId="6" borderId="7" xfId="0" applyNumberFormat="1" applyFont="1" applyFill="1" applyBorder="1"/>
    <x:xf numFmtId="200" fontId="5" fillId="6" borderId="0" xfId="0" applyNumberFormat="1" applyFont="1" applyFill="1" applyBorder="1"/>
    <x:xf numFmtId="200" fontId="5" fillId="6" borderId="9" xfId="0" applyNumberFormat="1" applyFont="1" applyFill="1" applyBorder="1"/>
    <x:xf numFmtId="200" fontId="5" fillId="6" borderId="10" xfId="0" applyNumberFormat="1" applyFont="1" applyFill="1" applyBorder="1"/>
    <x:xf numFmtId="201" fontId="5" fillId="6" borderId="6" xfId="0" applyNumberFormat="1" applyFont="1" applyFill="1" applyBorder="1"/>
    <x:xf numFmtId="201" fontId="5" fillId="6" borderId="8" xfId="0" applyNumberFormat="1" applyFont="1" applyFill="1" applyBorder="1"/>
    <x:xf numFmtId="201" fontId="5" fillId="6" borderId="11" xfId="0" applyNumberFormat="1" applyFont="1" applyFill="1" applyBorder="1"/>
    <x:xf numFmtId="202" fontId="5" fillId="6" borderId="4" xfId="0" applyNumberFormat="1" applyFont="1" applyFill="1" applyBorder="1"/>
    <x:xf numFmtId="202" fontId="5" fillId="6" borderId="5" xfId="0" applyNumberFormat="1" applyFont="1" applyFill="1" applyBorder="1"/>
    <x:xf numFmtId="202" fontId="5" fillId="6" borderId="6" xfId="0" applyNumberFormat="1" applyFont="1" applyFill="1" applyBorder="1"/>
    <x:xf numFmtId="202" fontId="5" fillId="6" borderId="7" xfId="0" applyNumberFormat="1" applyFont="1" applyFill="1" applyBorder="1"/>
    <x:xf numFmtId="202" fontId="5" fillId="6" borderId="0" xfId="0" applyNumberFormat="1" applyFont="1" applyFill="1" applyBorder="1"/>
    <x:xf numFmtId="202" fontId="5" fillId="6" borderId="8" xfId="0" applyNumberFormat="1" applyFont="1" applyFill="1" applyBorder="1"/>
    <x:xf numFmtId="202" fontId="5" fillId="6" borderId="9" xfId="0" applyNumberFormat="1" applyFont="1" applyFill="1" applyBorder="1"/>
    <x:xf numFmtId="202" fontId="5" fillId="6" borderId="10" xfId="0" applyNumberFormat="1" applyFont="1" applyFill="1" applyBorder="1"/>
    <x:xf numFmtId="202" fontId="5" fillId="6" borderId="11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200" fontId="5" fillId="6" borderId="1" xfId="0" applyNumberFormat="1" applyFont="1" applyFill="1" applyBorder="1"/>
    <x:xf numFmtId="200" fontId="5" fillId="6" borderId="2" xfId="0" applyNumberFormat="1" applyFont="1" applyFill="1" applyBorder="1"/>
    <x:xf numFmtId="201" fontId="5" fillId="6" borderId="3" xfId="0" applyNumberFormat="1" applyFont="1" applyFill="1" applyBorder="1"/>
    <x:xf numFmtId="202" fontId="5" fillId="6" borderId="1" xfId="0" applyNumberFormat="1" applyFont="1" applyFill="1" applyBorder="1"/>
    <x:xf numFmtId="202" fontId="5" fillId="6" borderId="2" xfId="0" applyNumberFormat="1" applyFont="1" applyFill="1" applyBorder="1"/>
    <x:xf numFmtId="0" fontId="0" fillId="0" borderId="5" xfId="0" applyNumberFormat="1" applyFont="1" applyFill="1" applyBorder="1"/>
    <x:xf numFmtId="203" fontId="5" fillId="6" borderId="7" xfId="0" applyNumberFormat="1" applyFont="1" applyFill="1" applyBorder="1"/>
    <x:xf numFmtId="203" fontId="5" fillId="6" borderId="0" xfId="0" applyNumberFormat="1" applyFont="1" applyFill="1" applyBorder="1"/>
    <x:xf numFmtId="203" fontId="5" fillId="6" borderId="8" xfId="0" applyNumberFormat="1" applyFont="1" applyFill="1" applyBorder="1"/>
    <x:xf numFmtId="203" fontId="5" fillId="6" borderId="9" xfId="0" applyNumberFormat="1" applyFont="1" applyFill="1" applyBorder="1"/>
    <x:xf numFmtId="203" fontId="5" fillId="6" borderId="10" xfId="0" applyNumberFormat="1" applyFont="1" applyFill="1" applyBorder="1"/>
    <x:xf numFmtId="203" fontId="5" fillId="6" borderId="11" xfId="0" applyNumberFormat="1" applyFont="1" applyFill="1" applyBorder="1"/>
    <x:xf numFmtId="200" fontId="5" fillId="6" borderId="6" xfId="0" applyNumberFormat="1" applyFont="1" applyFill="1" applyBorder="1"/>
    <x:xf numFmtId="200" fontId="5" fillId="6" borderId="8" xfId="0" applyNumberFormat="1" applyFont="1" applyFill="1" applyBorder="1"/>
    <x:xf numFmtId="200" fontId="5" fillId="6" borderId="1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/>
    <x:xf numFmtId="201" fontId="6" fillId="0" borderId="0" xfId="0" applyNumberFormat="1" applyFont="1" applyFill="1" applyBorder="1"/>
    <x:xf numFmtId="200" fontId="6" fillId="0" borderId="10" xfId="0" applyNumberFormat="1" applyFont="1" applyFill="1" applyBorder="1"/>
    <x:xf numFmtId="203" fontId="6" fillId="0" borderId="2" xfId="0" applyNumberFormat="1" applyFont="1" applyFill="1" applyBorder="1"/>
    <x:xf numFmtId="200" fontId="6" fillId="0" borderId="2" xfId="0" applyNumberFormat="1" applyFont="1" applyFill="1" applyBorder="1"/>
    <x:xf numFmtId="202" fontId="6" fillId="0" borderId="2" xfId="0" applyNumberFormat="1" applyFont="1" applyFill="1" applyBorder="1"/>
    <x:xf numFmtId="201" fontId="6" fillId="0" borderId="2" xfId="0" applyNumberFormat="1" applyFont="1" applyFill="1" applyBorder="1"/>
    <x:xf numFmtId="200" fontId="6" fillId="0" borderId="5" xfId="0" applyNumberFormat="1" applyFont="1" applyFill="1" applyBorder="1"/>
    <x:xf numFmtId="0" fontId="0" fillId="7" borderId="2" xfId="0" applyNumberFormat="1" applyFont="1" applyFill="1" applyBorder="1"/>
    <x:xf numFmtId="200" fontId="6" fillId="7" borderId="2" xfId="0" applyNumberFormat="1" applyFont="1" applyFill="1" applyBorder="1"/>
    <x:xf numFmtId="203" fontId="6" fillId="7" borderId="2" xfId="0" applyNumberFormat="1" applyFont="1" applyFill="1" applyBorder="1"/>
    <x:xf numFmtId="0" fontId="0" fillId="8" borderId="2" xfId="0" applyNumberFormat="1" applyFont="1" applyFill="1" applyBorder="1"/>
    <x:xf numFmtId="200" fontId="6" fillId="8" borderId="2" xfId="0" applyNumberFormat="1" applyFont="1" applyFill="1" applyBorder="1"/>
    <x:xf numFmtId="203" fontId="6" fillId="8" borderId="2" xfId="0" applyNumberFormat="1" applyFont="1" applyFill="1" applyBorder="1"/>
    <x:xf numFmtId="0" fontId="0" fillId="3" borderId="2" xfId="0" applyNumberFormat="1" applyFont="1" applyFill="1" applyBorder="1"/>
    <x:xf numFmtId="201" fontId="6" fillId="3" borderId="2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203" fontId="5" fillId="6" borderId="1" xfId="0" applyNumberFormat="1" applyFont="1" applyFill="1" applyBorder="1"/>
    <x:xf numFmtId="203" fontId="5" fillId="6" borderId="2" xfId="0" applyNumberFormat="1" applyFont="1" applyFill="1" applyBorder="1"/>
    <x:xf numFmtId="203" fontId="5" fillId="6" borderId="3" xfId="0" applyNumberFormat="1" applyFont="1" applyFill="1" applyBorder="1"/>
    <x:xf numFmtId="0" fontId="6" fillId="0" borderId="0" xfId="0" applyNumberFormat="1" applyFont="1" applyFill="1" applyBorder="1"/>
    <x:xf numFmtId="204" fontId="0" fillId="0" borderId="0" xfId="0" applyNumberFormat="1" applyFont="1" applyFill="1" applyBorder="1"/>
    <x:xf numFmtId="204" fontId="6" fillId="0" borderId="0" xfId="0" applyNumberFormat="1" applyFont="1" applyFill="1" applyBorder="1"/>
    <x:xf numFmtId="204" fontId="6" fillId="0" borderId="10" xfId="0" applyNumberFormat="1" applyFont="1" applyFill="1" applyBorder="1"/>
    <x:xf numFmtId="204" fontId="6" fillId="0" borderId="2" xfId="0" applyNumberFormat="1" applyFont="1" applyFill="1" applyBorder="1"/>
    <x:xf numFmtId="203" fontId="6" fillId="0" borderId="5" xfId="0" applyNumberFormat="1" applyFont="1" applyFill="1" applyBorder="1"/>
    <x:xf numFmtId="204" fontId="6" fillId="0" borderId="5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3" fontId="6" fillId="6" borderId="1" xfId="0" applyNumberFormat="1" applyFont="1" applyFill="1" applyBorder="1"/>
    <x:xf numFmtId="203" fontId="6" fillId="6" borderId="2" xfId="0" applyNumberFormat="1" applyFont="1" applyFill="1" applyBorder="1"/>
    <x:xf numFmtId="203" fontId="6" fillId="6" borderId="3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3" fontId="6" fillId="6" borderId="1" xfId="0" applyNumberFormat="1" applyFont="1" applyFill="1" applyBorder="1" applyAlignment="1">
      <x:alignment wrapText="1"/>
    </x:xf>
    <x:xf numFmtId="203" fontId="6" fillId="6" borderId="2" xfId="0" applyNumberFormat="1" applyFont="1" applyFill="1" applyBorder="1" applyAlignment="1">
      <x:alignment wrapText="1"/>
    </x:xf>
    <x:xf numFmtId="203" fontId="6" fillId="6" borderId="3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4" xfId="0" applyNumberFormat="1" applyFont="1" applyFill="1" applyBorder="1"/>
    <x:xf numFmtId="0" fontId="9" fillId="10" borderId="5" xfId="0" applyNumberFormat="1" applyFont="1" applyFill="1" applyBorder="1"/>
    <x:xf numFmtId="0" fontId="9" fillId="10" borderId="6" xfId="0" applyNumberFormat="1" applyFont="1" applyFill="1" applyBorder="1"/>
    <x:xf numFmtId="0" fontId="9" fillId="10" borderId="7" xfId="0" applyNumberFormat="1" applyFont="1" applyFill="1" applyBorder="1"/>
    <x:xf numFmtId="0" fontId="9" fillId="10" borderId="8" xfId="0" applyNumberFormat="1" applyFont="1" applyFill="1" applyBorder="1"/>
    <x:xf numFmtId="0" fontId="9" fillId="10" borderId="9" xfId="0" applyNumberFormat="1" applyFont="1" applyFill="1" applyBorder="1"/>
    <x:xf numFmtId="0" fontId="9" fillId="10" borderId="10" xfId="0" applyNumberFormat="1" applyFont="1" applyFill="1" applyBorder="1"/>
    <x:xf numFmtId="0" fontId="9" fillId="10" borderId="11" xfId="0" applyNumberFormat="1" applyFont="1" applyFill="1" applyBorder="1"/>
    <x:xf numFmtId="0" fontId="9" fillId="10" borderId="4" xfId="0" applyNumberFormat="1" applyFont="1" applyFill="1" applyBorder="1" applyAlignment="1">
      <x:alignment horizontal="center"/>
    </x:xf>
    <x:xf numFmtId="0" fontId="9" fillId="10" borderId="5" xfId="0" applyNumberFormat="1" applyFont="1" applyFill="1" applyBorder="1" applyAlignment="1">
      <x:alignment horizontal="center"/>
    </x:xf>
    <x:xf numFmtId="0" fontId="9" fillId="10" borderId="6" xfId="0" applyNumberFormat="1" applyFont="1" applyFill="1" applyBorder="1" applyAlignment="1">
      <x:alignment horizontal="center"/>
    </x:xf>
    <x:xf numFmtId="0" fontId="9" fillId="10" borderId="7" xfId="0" applyNumberFormat="1" applyFont="1" applyFill="1" applyBorder="1" applyAlignment="1">
      <x:alignment horizontal="center"/>
    </x:xf>
    <x:xf numFmtId="0" fontId="9" fillId="10" borderId="0" xfId="0" applyNumberFormat="1" applyFont="1" applyFill="1" applyBorder="1" applyAlignment="1">
      <x:alignment horizontal="center"/>
    </x:xf>
    <x:xf numFmtId="0" fontId="9" fillId="10" borderId="8" xfId="0" applyNumberFormat="1" applyFont="1" applyFill="1" applyBorder="1" applyAlignment="1">
      <x:alignment horizontal="center"/>
    </x:xf>
    <x:xf numFmtId="0" fontId="9" fillId="10" borderId="9" xfId="0" applyNumberFormat="1" applyFont="1" applyFill="1" applyBorder="1" applyAlignment="1">
      <x:alignment horizontal="center"/>
    </x:xf>
    <x:xf numFmtId="0" fontId="9" fillId="10" borderId="10" xfId="0" applyNumberFormat="1" applyFont="1" applyFill="1" applyBorder="1" applyAlignment="1">
      <x:alignment horizontal="center"/>
    </x:xf>
    <x:xf numFmtId="0" fontId="9" fillId="10" borderId="11" xfId="0" applyNumberFormat="1" applyFont="1" applyFill="1" applyBorder="1" applyAlignment="1">
      <x:alignment horizontal="center"/>
    </x:xf>
    <x:xf numFmtId="0" fontId="9" fillId="10" borderId="4" xfId="0" applyNumberFormat="1" applyFont="1" applyFill="1" applyBorder="1" applyAlignment="1">
      <x:alignment horizontal="center" vertical="center"/>
    </x:xf>
    <x:xf numFmtId="0" fontId="9" fillId="10" borderId="5" xfId="0" applyNumberFormat="1" applyFont="1" applyFill="1" applyBorder="1" applyAlignment="1">
      <x:alignment horizontal="center" vertical="center"/>
    </x:xf>
    <x:xf numFmtId="0" fontId="9" fillId="10" borderId="6" xfId="0" applyNumberFormat="1" applyFont="1" applyFill="1" applyBorder="1" applyAlignment="1">
      <x:alignment horizontal="center" vertical="center"/>
    </x:xf>
    <x:xf numFmtId="0" fontId="9" fillId="10" borderId="7" xfId="0" applyNumberFormat="1" applyFont="1" applyFill="1" applyBorder="1" applyAlignment="1">
      <x:alignment horizontal="center" vertic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9" fillId="10" borderId="8" xfId="0" applyNumberFormat="1" applyFont="1" applyFill="1" applyBorder="1" applyAlignment="1">
      <x:alignment horizontal="center" vertical="center"/>
    </x:xf>
    <x:xf numFmtId="0" fontId="9" fillId="10" borderId="9" xfId="0" applyNumberFormat="1" applyFont="1" applyFill="1" applyBorder="1" applyAlignment="1">
      <x:alignment horizontal="center" vertical="center"/>
    </x:xf>
    <x:xf numFmtId="0" fontId="9" fillId="10" borderId="10" xfId="0" applyNumberFormat="1" applyFont="1" applyFill="1" applyBorder="1" applyAlignment="1">
      <x:alignment horizontal="center" vertical="center"/>
    </x:xf>
    <x:xf numFmtId="0" fontId="9" fillId="10" borderId="11" xfId="0" applyNumberFormat="1" applyFont="1" applyFill="1" applyBorder="1" applyAlignment="1">
      <x:alignment horizontal="center" vertical="center"/>
    </x:xf>
    <x:xf numFmtId="200" fontId="9" fillId="10" borderId="4" xfId="0" applyNumberFormat="1" applyFont="1" applyFill="1" applyBorder="1" applyAlignment="1">
      <x:alignment horizontal="center" vertical="center"/>
    </x:xf>
    <x:xf numFmtId="200" fontId="9" fillId="10" borderId="5" xfId="0" applyNumberFormat="1" applyFont="1" applyFill="1" applyBorder="1" applyAlignment="1">
      <x:alignment horizontal="center" vertical="center"/>
    </x:xf>
    <x:xf numFmtId="200" fontId="9" fillId="10" borderId="6" xfId="0" applyNumberFormat="1" applyFont="1" applyFill="1" applyBorder="1" applyAlignment="1">
      <x:alignment horizontal="center" vertical="center"/>
    </x:xf>
    <x:xf numFmtId="200" fontId="9" fillId="10" borderId="7" xfId="0" applyNumberFormat="1" applyFont="1" applyFill="1" applyBorder="1" applyAlignment="1">
      <x:alignment horizontal="center" vertical="center"/>
    </x:xf>
    <x:xf numFmtId="200" fontId="9" fillId="10" borderId="0" xfId="0" applyNumberFormat="1" applyFont="1" applyFill="1" applyBorder="1" applyAlignment="1">
      <x:alignment horizontal="center" vertical="center"/>
    </x:xf>
    <x:xf numFmtId="200" fontId="9" fillId="10" borderId="8" xfId="0" applyNumberFormat="1" applyFont="1" applyFill="1" applyBorder="1" applyAlignment="1">
      <x:alignment horizontal="center" vertical="center"/>
    </x:xf>
    <x:xf numFmtId="200" fontId="9" fillId="10" borderId="9" xfId="0" applyNumberFormat="1" applyFont="1" applyFill="1" applyBorder="1" applyAlignment="1">
      <x:alignment horizontal="center" vertical="center"/>
    </x:xf>
    <x:xf numFmtId="200" fontId="9" fillId="10" borderId="10" xfId="0" applyNumberFormat="1" applyFont="1" applyFill="1" applyBorder="1" applyAlignment="1">
      <x:alignment horizontal="center" vertical="center"/>
    </x:xf>
    <x:xf numFmtId="200" fontId="9" fillId="10" borderId="11" xfId="0" applyNumberFormat="1" applyFont="1" applyFill="1" applyBorder="1" applyAlignment="1">
      <x:alignment horizontal="center" vertical="center"/>
    </x:xf>
    <x:xf numFmtId="203" fontId="9" fillId="10" borderId="4" xfId="0" applyNumberFormat="1" applyFont="1" applyFill="1" applyBorder="1" applyAlignment="1">
      <x:alignment horizontal="center" vertical="center"/>
    </x:xf>
    <x:xf numFmtId="203" fontId="9" fillId="10" borderId="5" xfId="0" applyNumberFormat="1" applyFont="1" applyFill="1" applyBorder="1" applyAlignment="1">
      <x:alignment horizontal="center" vertical="center"/>
    </x:xf>
    <x:xf numFmtId="203" fontId="9" fillId="10" borderId="6" xfId="0" applyNumberFormat="1" applyFont="1" applyFill="1" applyBorder="1" applyAlignment="1">
      <x:alignment horizontal="center" vertical="center"/>
    </x:xf>
    <x:xf numFmtId="203" fontId="9" fillId="10" borderId="7" xfId="0" applyNumberFormat="1" applyFont="1" applyFill="1" applyBorder="1" applyAlignment="1">
      <x:alignment horizontal="center" vertical="center"/>
    </x:xf>
    <x:xf numFmtId="203" fontId="9" fillId="10" borderId="0" xfId="0" applyNumberFormat="1" applyFont="1" applyFill="1" applyBorder="1" applyAlignment="1">
      <x:alignment horizontal="center" vertical="center"/>
    </x:xf>
    <x:xf numFmtId="203" fontId="9" fillId="10" borderId="8" xfId="0" applyNumberFormat="1" applyFont="1" applyFill="1" applyBorder="1" applyAlignment="1">
      <x:alignment horizontal="center" vertical="center"/>
    </x:xf>
    <x:xf numFmtId="203" fontId="9" fillId="10" borderId="9" xfId="0" applyNumberFormat="1" applyFont="1" applyFill="1" applyBorder="1" applyAlignment="1">
      <x:alignment horizontal="center" vertical="center"/>
    </x:xf>
    <x:xf numFmtId="203" fontId="9" fillId="10" borderId="10" xfId="0" applyNumberFormat="1" applyFont="1" applyFill="1" applyBorder="1" applyAlignment="1">
      <x:alignment horizontal="center" vertical="center"/>
    </x:xf>
    <x:xf numFmtId="203" fontId="9" fillId="10" borderId="11" xfId="0" applyNumberFormat="1" applyFont="1" applyFill="1" applyBorder="1" applyAlignment="1">
      <x:alignment horizontal="center" vertical="center"/>
    </x:xf>
    <x:xf numFmtId="201" fontId="9" fillId="10" borderId="4" xfId="0" applyNumberFormat="1" applyFont="1" applyFill="1" applyBorder="1" applyAlignment="1">
      <x:alignment horizontal="center" vertical="center"/>
    </x:xf>
    <x:xf numFmtId="201" fontId="9" fillId="10" borderId="5" xfId="0" applyNumberFormat="1" applyFont="1" applyFill="1" applyBorder="1" applyAlignment="1">
      <x:alignment horizontal="center" vertical="center"/>
    </x:xf>
    <x:xf numFmtId="201" fontId="9" fillId="10" borderId="6" xfId="0" applyNumberFormat="1" applyFont="1" applyFill="1" applyBorder="1" applyAlignment="1">
      <x:alignment horizontal="center" vertical="center"/>
    </x:xf>
    <x:xf numFmtId="201" fontId="9" fillId="10" borderId="7" xfId="0" applyNumberFormat="1" applyFont="1" applyFill="1" applyBorder="1" applyAlignment="1">
      <x:alignment horizontal="center" vertical="center"/>
    </x:xf>
    <x:xf numFmtId="201" fontId="9" fillId="10" borderId="0" xfId="0" applyNumberFormat="1" applyFont="1" applyFill="1" applyBorder="1" applyAlignment="1">
      <x:alignment horizontal="center" vertical="center"/>
    </x:xf>
    <x:xf numFmtId="201" fontId="9" fillId="10" borderId="8" xfId="0" applyNumberFormat="1" applyFont="1" applyFill="1" applyBorder="1" applyAlignment="1">
      <x:alignment horizontal="center" vertical="center"/>
    </x:xf>
    <x:xf numFmtId="201" fontId="9" fillId="10" borderId="9" xfId="0" applyNumberFormat="1" applyFont="1" applyFill="1" applyBorder="1" applyAlignment="1">
      <x:alignment horizontal="center" vertical="center"/>
    </x:xf>
    <x:xf numFmtId="201" fontId="9" fillId="10" borderId="10" xfId="0" applyNumberFormat="1" applyFont="1" applyFill="1" applyBorder="1" applyAlignment="1">
      <x:alignment horizontal="center" vertical="center"/>
    </x:xf>
    <x:xf numFmtId="201" fontId="9" fillId="10" borderId="11" xfId="0" applyNumberFormat="1" applyFont="1" applyFill="1" applyBorder="1" applyAlignment="1">
      <x:alignment horizontal="center" vertical="center"/>
    </x:xf>
    <x:xf numFmtId="0" fontId="10" fillId="10" borderId="0" xfId="0" applyNumberFormat="1" applyFont="1" applyFill="1" applyBorder="1"/>
    <x:xf numFmtId="0" fontId="10" fillId="10" borderId="4" xfId="0" applyNumberFormat="1" applyFont="1" applyFill="1" applyBorder="1"/>
    <x:xf numFmtId="0" fontId="10" fillId="10" borderId="5" xfId="0" applyNumberFormat="1" applyFont="1" applyFill="1" applyBorder="1"/>
    <x:xf numFmtId="0" fontId="10" fillId="10" borderId="6" xfId="0" applyNumberFormat="1" applyFont="1" applyFill="1" applyBorder="1"/>
    <x:xf numFmtId="0" fontId="10" fillId="10" borderId="7" xfId="0" applyNumberFormat="1" applyFont="1" applyFill="1" applyBorder="1"/>
    <x:xf numFmtId="0" fontId="10" fillId="10" borderId="8" xfId="0" applyNumberFormat="1" applyFont="1" applyFill="1" applyBorder="1"/>
    <x:xf numFmtId="0" fontId="10" fillId="10" borderId="9" xfId="0" applyNumberFormat="1" applyFont="1" applyFill="1" applyBorder="1"/>
    <x:xf numFmtId="0" fontId="10" fillId="10" borderId="10" xfId="0" applyNumberFormat="1" applyFont="1" applyFill="1" applyBorder="1"/>
    <x:xf numFmtId="0" fontId="10" fillId="10" borderId="11" xfId="0" applyNumberFormat="1" applyFont="1" applyFill="1" applyBorder="1"/>
    <x:xf numFmtId="0" fontId="10" fillId="10" borderId="4" xfId="0" applyNumberFormat="1" applyFont="1" applyFill="1" applyBorder="1" applyAlignment="1">
      <x:alignment wrapText="1"/>
    </x:xf>
    <x:xf numFmtId="0" fontId="10" fillId="10" borderId="5" xfId="0" applyNumberFormat="1" applyFont="1" applyFill="1" applyBorder="1" applyAlignment="1">
      <x:alignment wrapText="1"/>
    </x:xf>
    <x:xf numFmtId="0" fontId="10" fillId="10" borderId="6" xfId="0" applyNumberFormat="1" applyFont="1" applyFill="1" applyBorder="1" applyAlignment="1">
      <x:alignment wrapText="1"/>
    </x:xf>
    <x:xf numFmtId="0" fontId="10" fillId="10" borderId="7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wrapText="1"/>
    </x:xf>
    <x:xf numFmtId="0" fontId="10" fillId="10" borderId="8" xfId="0" applyNumberFormat="1" applyFont="1" applyFill="1" applyBorder="1" applyAlignment="1">
      <x:alignment wrapText="1"/>
    </x:xf>
    <x:xf numFmtId="0" fontId="10" fillId="10" borderId="9" xfId="0" applyNumberFormat="1" applyFont="1" applyFill="1" applyBorder="1" applyAlignment="1">
      <x:alignment wrapText="1"/>
    </x:xf>
    <x:xf numFmtId="0" fontId="10" fillId="10" borderId="10" xfId="0" applyNumberFormat="1" applyFont="1" applyFill="1" applyBorder="1" applyAlignment="1">
      <x:alignment wrapText="1"/>
    </x:xf>
    <x:xf numFmtId="0" fontId="10" fillId="10" borderId="11" xfId="0" applyNumberFormat="1" applyFont="1" applyFill="1" applyBorder="1" applyAlignment="1">
      <x:alignment wrapText="1"/>
    </x:xf>
    <x:xf numFmtId="0" fontId="10" fillId="10" borderId="4" xfId="0" applyNumberFormat="1" applyFont="1" applyFill="1" applyBorder="1" applyAlignment="1">
      <x:alignment vertical="top" wrapText="1"/>
    </x:xf>
    <x:xf numFmtId="0" fontId="10" fillId="10" borderId="5" xfId="0" applyNumberFormat="1" applyFont="1" applyFill="1" applyBorder="1" applyAlignment="1">
      <x:alignment vertical="top" wrapText="1"/>
    </x:xf>
    <x:xf numFmtId="0" fontId="10" fillId="10" borderId="6" xfId="0" applyNumberFormat="1" applyFont="1" applyFill="1" applyBorder="1" applyAlignment="1">
      <x:alignment vertical="top" wrapText="1"/>
    </x:xf>
    <x:xf numFmtId="0" fontId="10" fillId="10" borderId="7" xfId="0" applyNumberFormat="1" applyFont="1" applyFill="1" applyBorder="1" applyAlignment="1">
      <x:alignment vertical="top" wrapText="1"/>
    </x:xf>
    <x:xf numFmtId="0" fontId="10" fillId="10" borderId="0" xfId="0" applyNumberFormat="1" applyFont="1" applyFill="1" applyBorder="1" applyAlignment="1">
      <x:alignment vertical="top" wrapText="1"/>
    </x:xf>
    <x:xf numFmtId="0" fontId="10" fillId="10" borderId="8" xfId="0" applyNumberFormat="1" applyFont="1" applyFill="1" applyBorder="1" applyAlignment="1">
      <x:alignment vertical="top" wrapText="1"/>
    </x:xf>
    <x:xf numFmtId="0" fontId="10" fillId="10" borderId="9" xfId="0" applyNumberFormat="1" applyFont="1" applyFill="1" applyBorder="1" applyAlignment="1">
      <x:alignment vertical="top" wrapText="1"/>
    </x:xf>
    <x:xf numFmtId="0" fontId="10" fillId="10" borderId="10" xfId="0" applyNumberFormat="1" applyFont="1" applyFill="1" applyBorder="1" applyAlignment="1">
      <x:alignment vertical="top" wrapText="1"/>
    </x:xf>
    <x:xf numFmtId="0" fontId="10" fillId="10" borderId="11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/>
    <x:xf numFmtId="0" fontId="11" fillId="7" borderId="12" xfId="0" applyNumberFormat="1" applyFont="1" applyFill="1" applyBorder="1"/>
    <x:xf numFmtId="0" fontId="11" fillId="7" borderId="13" xfId="0" applyNumberFormat="1" applyFont="1" applyFill="1" applyBorder="1"/>
    <x:xf numFmtId="0" fontId="11" fillId="7" borderId="14" xfId="0" applyNumberFormat="1" applyFont="1" applyFill="1" applyBorder="1"/>
    <x:xf numFmtId="0" fontId="11" fillId="7" borderId="15" xfId="0" applyNumberFormat="1" applyFont="1" applyFill="1" applyBorder="1"/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8" xfId="0" applyNumberFormat="1" applyFont="1" applyFill="1" applyBorder="1"/>
    <x:xf numFmtId="0" fontId="11" fillId="7" borderId="19" xfId="0" applyNumberFormat="1" applyFont="1" applyFill="1" applyBorder="1"/>
    <x:xf numFmtId="0" fontId="11" fillId="7" borderId="12" xfId="0" applyNumberFormat="1" applyFont="1" applyFill="1" applyBorder="1" applyAlignment="1">
      <x:alignment wrapText="1"/>
    </x:xf>
    <x:xf numFmtId="0" fontId="11" fillId="7" borderId="13" xfId="0" applyNumberFormat="1" applyFont="1" applyFill="1" applyBorder="1" applyAlignment="1">
      <x:alignment wrapText="1"/>
    </x:xf>
    <x:xf numFmtId="0" fontId="11" fillId="7" borderId="14" xfId="0" applyNumberFormat="1" applyFont="1" applyFill="1" applyBorder="1" applyAlignment="1">
      <x:alignment wrapText="1"/>
    </x:xf>
    <x:xf numFmtId="0" fontId="11" fillId="7" borderId="15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0" fontId="11" fillId="7" borderId="16" xfId="0" applyNumberFormat="1" applyFont="1" applyFill="1" applyBorder="1" applyAlignment="1">
      <x:alignment wrapText="1"/>
    </x:xf>
    <x:xf numFmtId="0" fontId="11" fillId="7" borderId="17" xfId="0" applyNumberFormat="1" applyFont="1" applyFill="1" applyBorder="1" applyAlignment="1">
      <x:alignment wrapText="1"/>
    </x:xf>
    <x:xf numFmtId="0" fontId="11" fillId="7" borderId="18" xfId="0" applyNumberFormat="1" applyFont="1" applyFill="1" applyBorder="1" applyAlignment="1">
      <x:alignment wrapText="1"/>
    </x:xf>
    <x:xf numFmtId="0" fontId="11" fillId="7" borderId="19" xfId="0" applyNumberFormat="1" applyFont="1" applyFill="1" applyBorder="1" applyAlignment="1">
      <x:alignment wrapText="1"/>
    </x:xf>
    <x:xf numFmtId="0" fontId="11" fillId="7" borderId="12" xfId="0" applyNumberFormat="1" applyFont="1" applyFill="1" applyBorder="1" applyAlignment="1">
      <x:alignment vertical="center" wrapText="1"/>
    </x:xf>
    <x:xf numFmtId="0" fontId="11" fillId="7" borderId="13" xfId="0" applyNumberFormat="1" applyFont="1" applyFill="1" applyBorder="1" applyAlignment="1">
      <x:alignment vertical="center" wrapText="1"/>
    </x:xf>
    <x:xf numFmtId="0" fontId="11" fillId="7" borderId="14" xfId="0" applyNumberFormat="1" applyFont="1" applyFill="1" applyBorder="1" applyAlignment="1">
      <x:alignment vertical="center" wrapText="1"/>
    </x:xf>
    <x:xf numFmtId="0" fontId="11" fillId="7" borderId="15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16" xfId="0" applyNumberFormat="1" applyFont="1" applyFill="1" applyBorder="1" applyAlignment="1">
      <x:alignment vertical="center" wrapText="1"/>
    </x:xf>
    <x:xf numFmtId="0" fontId="11" fillId="7" borderId="17" xfId="0" applyNumberFormat="1" applyFont="1" applyFill="1" applyBorder="1" applyAlignment="1">
      <x:alignment vertical="center" wrapText="1"/>
    </x:xf>
    <x:xf numFmtId="0" fontId="11" fillId="7" borderId="18" xfId="0" applyNumberFormat="1" applyFont="1" applyFill="1" applyBorder="1" applyAlignment="1">
      <x:alignment vertical="center" wrapText="1"/>
    </x:xf>
    <x:xf numFmtId="0" fontId="11" fillId="7" borderId="1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3" fontId="6" fillId="0" borderId="2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0" fontId="0" fillId="7" borderId="2" xfId="0" applyNumberFormat="1" applyFont="1" applyFill="1" applyBorder="1" applyAlignment="1">
      <x:alignment vertical="center"/>
    </x:xf>
    <x:xf numFmtId="200" fontId="6" fillId="7" borderId="2" xfId="0" applyNumberFormat="1" applyFont="1" applyFill="1" applyBorder="1" applyAlignment="1">
      <x:alignment vertical="center"/>
    </x:xf>
    <x:xf numFmtId="203" fontId="6" fillId="7" borderId="2" xfId="0" applyNumberFormat="1" applyFont="1" applyFill="1" applyBorder="1" applyAlignment="1">
      <x:alignment vertical="center"/>
    </x:xf>
    <x:xf numFmtId="0" fontId="0" fillId="8" borderId="2" xfId="0" applyNumberFormat="1" applyFont="1" applyFill="1" applyBorder="1" applyAlignment="1">
      <x:alignment vertical="center"/>
    </x:xf>
    <x:xf numFmtId="200" fontId="6" fillId="8" borderId="2" xfId="0" applyNumberFormat="1" applyFont="1" applyFill="1" applyBorder="1" applyAlignment="1">
      <x:alignment vertical="center"/>
    </x:xf>
    <x:xf numFmtId="203" fontId="6" fillId="8" borderId="2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201" fontId="6" fillId="3" borderId="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3" fontId="5" fillId="6" borderId="1" xfId="0" applyNumberFormat="1" applyFont="1" applyFill="1" applyBorder="1" applyAlignment="1">
      <x:alignment vertical="center"/>
    </x:xf>
    <x:xf numFmtId="203" fontId="5" fillId="6" borderId="2" xfId="0" applyNumberFormat="1" applyFont="1" applyFill="1" applyBorder="1" applyAlignment="1">
      <x:alignment vertical="center"/>
    </x:xf>
    <x:xf numFmtId="203" fontId="5" fillId="6" borderId="3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4" fontId="6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204" fontId="6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203" fontId="6" fillId="0" borderId="5" xfId="0" applyNumberFormat="1" applyFont="1" applyFill="1" applyBorder="1" applyAlignment="1">
      <x:alignment vertical="center"/>
    </x:xf>
    <x:xf numFmtId="204" fontId="6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3" fontId="6" fillId="6" borderId="1" xfId="0" applyNumberFormat="1" applyFont="1" applyFill="1" applyBorder="1" applyAlignment="1">
      <x:alignment vertical="center" wrapText="1"/>
    </x:xf>
    <x:xf numFmtId="203" fontId="6" fillId="6" borderId="2" xfId="0" applyNumberFormat="1" applyFont="1" applyFill="1" applyBorder="1" applyAlignment="1">
      <x:alignment vertical="center" wrapText="1"/>
    </x:xf>
    <x:xf numFmtId="203" fontId="6" fillId="6" borderId="3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C0392B"/>
      </x:font>
      <x:fill>
        <x:patternFill patternType="solid">
          <x:bgColor rgb="FFFDEDEC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1E8449"/>
      </x:font>
      <x:fill>
        <x:patternFill patternType="solid">
          <x:bgColor rgb="FFE9F7EF"/>
        </x:patternFill>
      </x:fill>
    </x:dxf>
    <x:dxf>
      <x:font>
        <x:b/>
        <x:color rgb="FFC0392B"/>
      </x:font>
      <x:fill>
        <x:patternFill patternType="solid">
          <x:bgColor rgb="FFFDEDEC"/>
        </x:patternFill>
      </x:fill>
    </x:dxf>
    <x:dxf>
      <x:font>
        <x:b/>
        <x:color rgb="FF1E8449"/>
      </x:font>
      <x:fill>
        <x:patternFill patternType="solid">
          <x:bgColor rgb="FFE9F7EF"/>
        </x:patternFill>
      </x:fill>
    </x:dxf>
    <x:dxf>
      <x:font>
        <x:b/>
        <x:color rgb="FF1E8449"/>
      </x:font>
      <x:fill>
        <x:patternFill patternType="solid">
          <x:bgColor rgb="FFE9F7EF"/>
        </x:patternFill>
      </x:fill>
    </x:dxf>
    <x:dxf>
      <x:font>
        <x:b/>
        <x:color rgb="FFC0392B"/>
      </x:font>
      <x:fill>
        <x:patternFill patternType="solid">
          <x:bgColor rgb="FFFDED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94926d56a430e" /><Relationship Type="http://schemas.openxmlformats.org/officeDocument/2006/relationships/theme" Target="/xl/theme/theme1.xml" Id="R7db99b3746324cea" /><Relationship Type="http://schemas.openxmlformats.org/officeDocument/2006/relationships/sharedStrings" Target="/xl/sharedStrings.xml" Id="R811f7df0fcb6424a" /><Relationship Type="http://schemas.openxmlformats.org/officeDocument/2006/relationships/worksheet" Target="/xl/worksheets/sheet1.xml" Id="R6450acf4afcb43de" /><Relationship Type="http://schemas.openxmlformats.org/officeDocument/2006/relationships/worksheet" Target="/xl/worksheets/sheet2.xml" Id="R22340968191b472d" /><Relationship Type="http://schemas.openxmlformats.org/officeDocument/2006/relationships/worksheet" Target="/xl/worksheets/sheet3.xml" Id="R798240dbae1e4582" /><Relationship Type="http://schemas.openxmlformats.org/officeDocument/2006/relationships/worksheet" Target="/xl/worksheets/sheet4.xml" Id="R8f727fdb61634411" /><Relationship Type="http://schemas.openxmlformats.org/officeDocument/2006/relationships/worksheet" Target="/xl/worksheets/sheet5.xml" Id="Rbc386317619843f0" /><Relationship Type="http://schemas.openxmlformats.org/officeDocument/2006/relationships/worksheet" Target="/xl/worksheets/sheet6.xml" Id="R5513954c99c24a18" /><Relationship Type="http://schemas.openxmlformats.org/officeDocument/2006/relationships/worksheet" Target="/xl/worksheets/sheet7.xml" Id="R3970f6bcf0fa4dfd" /><Relationship Type="http://schemas.openxmlformats.org/officeDocument/2006/relationships/worksheet" Target="/xl/worksheets/sheet8.xml" Id="Rf06422e3208048ae" /><Relationship Type="http://schemas.openxmlformats.org/officeDocument/2006/relationships/worksheet" Target="/xl/worksheets/sheet9.xml" Id="Rf2cf78ad63f149c5" /><Relationship Type="http://schemas.microsoft.com/office/2017/10/relationships/person" Target="/xl/persons/person.xml" Id="Ra0acdc1e8bac41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04492eb02a4b5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7ed3deaf4f146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scenario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Year 1</c:v>
          </c:tx>
          <c:cat>
            <c:strRef>
              <c:f>'Forecast'!$F$8:$F$10</c:f>
              <c:strCache>
                <c:ptCount val="0"/>
              </c:strCache>
            </c:strRef>
          </c:cat>
          <c:val>
            <c:numRef>
              <c:f>'Forecast'!$G$8:$G$10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Year 2</c:v>
          </c:tx>
          <c:cat>
            <c:strRef>
              <c:f>'Forecast'!$F$8:$F$10</c:f>
              <c:strCache>
                <c:ptCount val="0"/>
              </c:strCache>
            </c:strRef>
          </c:cat>
          <c:val>
            <c:numRef>
              <c:f>'Forecast'!$H$8:$H$10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Year 3</c:v>
          </c:tx>
          <c:cat>
            <c:strRef>
              <c:f>'Forecast'!$F$8:$F$10</c:f>
              <c:strCache>
                <c:ptCount val="0"/>
              </c:strCache>
            </c:strRef>
          </c:cat>
          <c:val>
            <c:numRef>
              <c:f>'Forecast'!$I$8:$I$10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Base-case quarterly revenue ($)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'Base Quarterly'!$A$16:$A$27</c:f>
              <c:strCache>
                <c:ptCount val="0"/>
              </c:strCache>
            </c:strRef>
          </c:cat>
          <c:val>
            <c:numRef>
              <c:f>'Base Quarterly'!$B$16:$B$27</c:f>
              <c:numCache>
                <c:formatCode>$#,##0;[Red]($#,##0);-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04492eb02a4b5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ed3deaf4f1462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1D4B9457-3002-4958-8324-2F2DDB0A9D5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9-02T03:42:29.18" personId="{1D4B9457-3002-4958-8324-2F2DDB0A9D54}" id="{A6049A6D-041F-4CA4-A6EE-745DD7E06193}">
    <xltc:text>Source: current public prices for Heutrix Diagnostics, Heutrix Workflow Transformation and Heutrix AI Guardrails, plus internal reference values for visibility-focused and expanded Workflow Transformation scopes. Support is not publicly priced, so B12 is set to zero.</xltc:text>
  </xltc:threadedComment>
  <xltc:threadedComment ref="C7" dT="2026-09-02T03:42:29.181" personId="{1D4B9457-3002-4958-8324-2F2DDB0A9D54}" id="{8C02213A-5049-4DB0-BB89-73CEF86A67B5}">
    <xltc:text>Assumption: target ASP within the launch-review price architecture; update after 5–10 paid proposals.</xltc:text>
  </xltc:threadedComment>
  <xltc:threadedComment ref="D7" dT="2026-09-02T03:42:29.181" personId="{1D4B9457-3002-4958-8324-2F2DDB0A9D54}" id="{472677C9-9C3B-4AB9-B68A-29C6DD8F76E5}">
    <xltc:text>Assumption: loaded cost estimate for a fully scoped, handover-ready delivery unit.</xltc:text>
  </xltc:threadedComment>
  <xltc:threadedComment ref="B20" dT="2026-09-02T03:42:29.181" personId="{1D4B9457-3002-4958-8324-2F2DDB0A9D54}" id="{2ED770B8-7FFB-47CF-BBC0-58886B898945}">
    <xltc:text>Assumption: gross-margin target from the local launch review.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d0258cc4f054f09" /><Relationship Type="http://schemas.openxmlformats.org/officeDocument/2006/relationships/vmlDrawing" Target="/xl/drawings/vmldrawing.vml" Id="R31f80e61bb3b4121" /><Relationship Type="http://schemas.microsoft.com/office/2017/10/relationships/threadedComment" Target="/xl/threadedcomments/threadedcomment.xml" Id="Rb0f90f25969f4e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100f2fc28e847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793ae33712245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4" customHeight="1">
      <x:c r="A1" s="4" t="str">
        <x:v>Heutrix Labs — Business Research, Forecast and Scale Plan</x:v>
      </x:c>
      <x:c r="B1" s="4" t="str">
        <x:v>Heutrix Labs — Business Research, Forecast and Scale Plan</x:v>
      </x:c>
      <x:c r="C1" s="4" t="str">
        <x:v>Heutrix Labs — Business Research, Forecast and Scale Plan</x:v>
      </x:c>
      <x:c r="D1" s="4" t="str">
        <x:v>Heutrix Labs — Business Research, Forecast and Scale Plan</x:v>
      </x:c>
      <x:c r="E1" s="4" t="str">
        <x:v>Heutrix Labs — Business Research, Forecast and Scale Plan</x:v>
      </x:c>
      <x:c r="F1" s="4" t="str">
        <x:v>Heutrix Labs — Business Research, Forecast and Scale Plan</x:v>
      </x:c>
      <x:c r="G1" s="4" t="str">
        <x:v>Heutrix Labs — Business Research, Forecast and Scale Plan</x:v>
      </x:c>
      <x:c r="H1" s="4" t="str">
        <x:v>Heutrix Labs — Business Research, Forecast and Scale Plan</x:v>
      </x:c>
      <x:c r="I1" s="4" t="str">
        <x:v>Heutrix Labs — Business Research, Forecast and Scale Plan</x:v>
      </x:c>
      <x:c r="J1" s="4" t="str">
        <x:v>Heutrix Labs — Business Research, Forecast and Scale Plan</x:v>
      </x:c>
      <x:c r="K1" s="4" t="str">
        <x:v>Heutrix Labs — Business Research, Forecast and Scale Plan</x:v>
      </x:c>
      <x:c r="L1" s="4" t="str">
        <x:v>Heutrix Labs — Business Research, Forecast and Scale Plan</x:v>
      </x:c>
    </x:row>
    <x:row r="2">
      <x:c r="A2" s="123" t="str">
        <x:v>Decision model | Version 1.0 | 26 August 2026 | AUD, ex GST | First three 12-month periods after commercial readiness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</x:row>
    <x:row r="3">
      <x:c r="A3" s="123"/>
      <x:c r="B3" s="123"/>
      <x:c r="C3" s="123"/>
      <x:c r="D3" s="123"/>
      <x:c r="E3" s="123"/>
      <x:c r="F3" s="123"/>
      <x:c r="G3" s="123"/>
      <x:c r="H3" s="123"/>
      <x:c r="I3" s="123"/>
      <x:c r="J3" s="123"/>
      <x:c r="K3" s="123"/>
      <x:c r="L3" s="123"/>
    </x:row>
    <x:row r="5" ht="23" customHeight="1">
      <x:c r="A5" s="11" t="str">
        <x:v>Executive view</x:v>
      </x:c>
      <x:c r="B5" s="11" t="str">
        <x:v>Executive view</x:v>
      </x:c>
      <x:c r="C5" s="11" t="str">
        <x:v>Executive view</x:v>
      </x:c>
      <x:c r="D5" s="11" t="str">
        <x:v>Executive view</x:v>
      </x:c>
      <x:c r="E5" s="11" t="str">
        <x:v>Executive view</x:v>
      </x:c>
      <x:c r="F5" s="11" t="str">
        <x:v>Executive view</x:v>
      </x:c>
      <x:c r="G5" s="11" t="str">
        <x:v>Executive view</x:v>
      </x:c>
      <x:c r="H5" s="11" t="str">
        <x:v>Executive view</x:v>
      </x:c>
      <x:c r="I5" s="11" t="str">
        <x:v>Executive view</x:v>
      </x:c>
      <x:c r="J5" s="11" t="str">
        <x:v>Executive view</x:v>
      </x:c>
      <x:c r="K5" s="11" t="str">
        <x:v>Executive view</x:v>
      </x:c>
      <x:c r="L5" s="11" t="str">
        <x:v>Executive view</x:v>
      </x:c>
    </x:row>
    <x:row r="6">
      <x:c r="A6" s="126" t="str">
        <x:v>Base Year 1 revenue</x:v>
      </x:c>
      <x:c r="B6" s="126"/>
      <x:c r="C6" s="126"/>
      <x:c r="D6" s="126" t="str">
        <x:v>Base Year 3 revenue</x:v>
      </x:c>
      <x:c r="E6" s="126"/>
      <x:c r="F6" s="126"/>
      <x:c r="G6" s="126" t="str">
        <x:v>Base Year 3 gross margin</x:v>
      </x:c>
      <x:c r="H6" s="126"/>
      <x:c r="I6" s="126"/>
      <x:c r="J6" s="126" t="str">
        <x:v>Base Year 3 delivery FTE</x:v>
      </x:c>
      <x:c r="K6" s="126"/>
      <x:c r="L6" s="126"/>
    </x:row>
    <x:row r="7">
      <x:c r="A7" s="155" t="n">
        <x:f>'Forecast'!B26</x:f>
        <x:v>182000</x:v>
      </x:c>
      <x:c r="B7" s="156"/>
      <x:c r="C7" s="157"/>
      <x:c r="D7" s="155" t="n">
        <x:f>'Forecast'!D26</x:f>
        <x:v>486000</x:v>
      </x:c>
      <x:c r="E7" s="156"/>
      <x:c r="F7" s="157"/>
      <x:c r="G7" s="164" t="n">
        <x:f>'Forecast'!D30</x:f>
        <x:v>0.6283950617283951</x:v>
      </x:c>
      <x:c r="H7" s="165"/>
      <x:c r="I7" s="166"/>
      <x:c r="J7" s="173" t="n">
        <x:f>'Forecast'!D35</x:f>
        <x:v>1.9025641025641025</x:v>
      </x:c>
      <x:c r="K7" s="174"/>
      <x:c r="L7" s="175"/>
    </x:row>
    <x:row r="8">
      <x:c r="A8" s="158"/>
      <x:c r="B8" s="159"/>
      <x:c r="C8" s="160"/>
      <x:c r="D8" s="158"/>
      <x:c r="E8" s="159"/>
      <x:c r="F8" s="160"/>
      <x:c r="G8" s="167"/>
      <x:c r="H8" s="168"/>
      <x:c r="I8" s="169"/>
      <x:c r="J8" s="176"/>
      <x:c r="K8" s="177"/>
      <x:c r="L8" s="178"/>
    </x:row>
    <x:row r="9">
      <x:c r="A9" s="161"/>
      <x:c r="B9" s="162"/>
      <x:c r="C9" s="163"/>
      <x:c r="D9" s="161"/>
      <x:c r="E9" s="162"/>
      <x:c r="F9" s="163"/>
      <x:c r="G9" s="170"/>
      <x:c r="H9" s="171"/>
      <x:c r="I9" s="172"/>
      <x:c r="J9" s="179"/>
      <x:c r="K9" s="180"/>
      <x:c r="L9" s="181"/>
    </x:row>
    <x:row r="11" ht="23" customHeight="1">
      <x:c r="A11" s="11" t="str">
        <x:v>What the evidence says</x:v>
      </x:c>
      <x:c r="B11" s="11" t="str">
        <x:v>What the evidence says</x:v>
      </x:c>
      <x:c r="C11" s="11" t="str">
        <x:v>What the evidence says</x:v>
      </x:c>
      <x:c r="D11" s="11" t="str">
        <x:v>What the evidence says</x:v>
      </x:c>
      <x:c r="E11" s="11" t="str">
        <x:v>What the evidence says</x:v>
      </x:c>
      <x:c r="F11" s="11" t="str">
        <x:v>What the evidence says</x:v>
      </x:c>
      <x:c r="G11" s="11" t="str">
        <x:v>What the evidence says</x:v>
      </x:c>
      <x:c r="H11" s="11" t="str">
        <x:v>What the evidence says</x:v>
      </x:c>
      <x:c r="I11" s="11" t="str">
        <x:v>What the evidence says</x:v>
      </x:c>
      <x:c r="J11" s="11" t="str">
        <x:v>What the evidence says</x:v>
      </x:c>
      <x:c r="K11" s="11" t="str">
        <x:v>What the evidence says</x:v>
      </x:c>
      <x:c r="L11" s="11" t="str">
        <x:v>What the evidence says</x:v>
      </x:c>
    </x:row>
    <x:row r="12" ht="24" customHeight="1">
      <x:c r="A12" s="200" t="str">
        <x:v>1. Positioning is credible: workflow-first systems around existing practice software, with privacy, data minimisation and human review.
2. Commercial readiness is not: the live contact form does not transmit leads, the brand is anonymous, proof is illustrative, analytics/CRM/scheduler are absent, and technical trust/SEO basics remain incomplete.
3. The current $950–$2,500 public starting prices do not fund the modeled full scopes. At Base Year 1 project volumes, modeled project gross margin is negative at reference pricing and about 60% at target pricing.
4. Near-term growth is capacity-constrained, not market-constrained. The Base case rises from about $182k to $486k, but delivery demand reaches about 1.9 FTE by Year 3.</x:v>
      </x:c>
      <x:c r="B12" s="201"/>
      <x:c r="C12" s="201"/>
      <x:c r="D12" s="201"/>
      <x:c r="E12" s="201"/>
      <x:c r="F12" s="201"/>
      <x:c r="G12" s="201"/>
      <x:c r="H12" s="201"/>
      <x:c r="I12" s="201"/>
      <x:c r="J12" s="201"/>
      <x:c r="K12" s="201"/>
      <x:c r="L12" s="202"/>
    </x:row>
    <x:row r="13" ht="24" customHeight="1">
      <x:c r="A13" s="203"/>
      <x:c r="B13" s="204"/>
      <x:c r="C13" s="204"/>
      <x:c r="D13" s="204"/>
      <x:c r="E13" s="204"/>
      <x:c r="F13" s="204"/>
      <x:c r="G13" s="204"/>
      <x:c r="H13" s="204"/>
      <x:c r="I13" s="204"/>
      <x:c r="J13" s="204"/>
      <x:c r="K13" s="204"/>
      <x:c r="L13" s="205"/>
    </x:row>
    <x:row r="14" ht="24" customHeight="1">
      <x:c r="A14" s="203"/>
      <x:c r="B14" s="204"/>
      <x:c r="C14" s="204"/>
      <x:c r="D14" s="204"/>
      <x:c r="E14" s="204"/>
      <x:c r="F14" s="204"/>
      <x:c r="G14" s="204"/>
      <x:c r="H14" s="204"/>
      <x:c r="I14" s="204"/>
      <x:c r="J14" s="204"/>
      <x:c r="K14" s="204"/>
      <x:c r="L14" s="205"/>
    </x:row>
    <x:row r="15" ht="24" customHeight="1">
      <x:c r="A15" s="203"/>
      <x:c r="B15" s="204"/>
      <x:c r="C15" s="204"/>
      <x:c r="D15" s="204"/>
      <x:c r="E15" s="204"/>
      <x:c r="F15" s="204"/>
      <x:c r="G15" s="204"/>
      <x:c r="H15" s="204"/>
      <x:c r="I15" s="204"/>
      <x:c r="J15" s="204"/>
      <x:c r="K15" s="204"/>
      <x:c r="L15" s="205"/>
    </x:row>
    <x:row r="16" ht="24" customHeight="1">
      <x:c r="A16" s="203"/>
      <x:c r="B16" s="204"/>
      <x:c r="C16" s="204"/>
      <x:c r="D16" s="204"/>
      <x:c r="E16" s="204"/>
      <x:c r="F16" s="204"/>
      <x:c r="G16" s="204"/>
      <x:c r="H16" s="204"/>
      <x:c r="I16" s="204"/>
      <x:c r="J16" s="204"/>
      <x:c r="K16" s="204"/>
      <x:c r="L16" s="205"/>
    </x:row>
    <x:row r="17" ht="24" customHeight="1">
      <x:c r="A17" s="206"/>
      <x:c r="B17" s="207"/>
      <x:c r="C17" s="207"/>
      <x:c r="D17" s="207"/>
      <x:c r="E17" s="207"/>
      <x:c r="F17" s="207"/>
      <x:c r="G17" s="207"/>
      <x:c r="H17" s="207"/>
      <x:c r="I17" s="207"/>
      <x:c r="J17" s="207"/>
      <x:c r="K17" s="207"/>
      <x:c r="L17" s="208"/>
    </x:row>
    <x:row r="19" ht="23" customHeight="1">
      <x:c r="A19" s="11" t="str">
        <x:v>Recommended decision</x:v>
      </x:c>
      <x:c r="B19" s="11" t="str">
        <x:v>Recommended decision</x:v>
      </x:c>
      <x:c r="C19" s="11" t="str">
        <x:v>Recommended decision</x:v>
      </x:c>
      <x:c r="D19" s="11" t="str">
        <x:v>Recommended decision</x:v>
      </x:c>
      <x:c r="E19" s="11" t="str">
        <x:v>Recommended decision</x:v>
      </x:c>
      <x:c r="F19" s="11" t="str">
        <x:v>Recommended decision</x:v>
      </x:c>
      <x:c r="G19" s="11" t="str">
        <x:v>Recommended decision</x:v>
      </x:c>
      <x:c r="H19" s="11" t="str">
        <x:v>Recommended decision</x:v>
      </x:c>
      <x:c r="I19" s="11" t="str">
        <x:v>Recommended decision</x:v>
      </x:c>
      <x:c r="J19" s="11" t="str">
        <x:v>Recommended decision</x:v>
      </x:c>
      <x:c r="K19" s="11" t="str">
        <x:v>Recommended decision</x:v>
      </x:c>
      <x:c r="L19" s="11" t="str">
        <x:v>Recommended decision</x:v>
      </x:c>
    </x:row>
    <x:row r="20">
      <x:c r="A20" s="227" t="str">
        <x:v>Do not scale traffic into the current funnel. First repair lead capture and trust, then sell Heutrix Diagnostics, Heutrix Workflow Transformation and Heutrix AI Guardrails with honest founding-client terms and 30-day stabilisation where applicable. Keep the first vertical narrow, measure gross margin by product and scope variant, and hire only when signed backlog holds delivery utilisation above 85% for 8–12 weeks.</x:v>
      </x:c>
      <x:c r="B20" s="228"/>
      <x:c r="C20" s="228"/>
      <x:c r="D20" s="228"/>
      <x:c r="E20" s="228"/>
      <x:c r="F20" s="228"/>
      <x:c r="G20" s="228"/>
      <x:c r="H20" s="228"/>
      <x:c r="I20" s="228"/>
      <x:c r="J20" s="228"/>
      <x:c r="K20" s="228"/>
      <x:c r="L20" s="229"/>
    </x:row>
    <x:row r="21">
      <x:c r="A21" s="230"/>
      <x:c r="B21" s="231"/>
      <x:c r="C21" s="231"/>
      <x:c r="D21" s="231"/>
      <x:c r="E21" s="231"/>
      <x:c r="F21" s="231"/>
      <x:c r="G21" s="231"/>
      <x:c r="H21" s="231"/>
      <x:c r="I21" s="231"/>
      <x:c r="J21" s="231"/>
      <x:c r="K21" s="231"/>
      <x:c r="L21" s="232"/>
    </x:row>
    <x:row r="22">
      <x:c r="A22" s="230"/>
      <x:c r="B22" s="231"/>
      <x:c r="C22" s="231"/>
      <x:c r="D22" s="231"/>
      <x:c r="E22" s="231"/>
      <x:c r="F22" s="231"/>
      <x:c r="G22" s="231"/>
      <x:c r="H22" s="231"/>
      <x:c r="I22" s="231"/>
      <x:c r="J22" s="231"/>
      <x:c r="K22" s="231"/>
      <x:c r="L22" s="232"/>
    </x:row>
    <x:row r="23">
      <x:c r="A23" s="230"/>
      <x:c r="B23" s="231"/>
      <x:c r="C23" s="231"/>
      <x:c r="D23" s="231"/>
      <x:c r="E23" s="231"/>
      <x:c r="F23" s="231"/>
      <x:c r="G23" s="231"/>
      <x:c r="H23" s="231"/>
      <x:c r="I23" s="231"/>
      <x:c r="J23" s="231"/>
      <x:c r="K23" s="231"/>
      <x:c r="L23" s="232"/>
    </x:row>
    <x:row r="24">
      <x:c r="A24" s="233"/>
      <x:c r="B24" s="234"/>
      <x:c r="C24" s="234"/>
      <x:c r="D24" s="234"/>
      <x:c r="E24" s="234"/>
      <x:c r="F24" s="234"/>
      <x:c r="G24" s="234"/>
      <x:c r="H24" s="234"/>
      <x:c r="I24" s="234"/>
      <x:c r="J24" s="234"/>
      <x:c r="K24" s="234"/>
      <x:c r="L24" s="235"/>
    </x:row>
    <x:row r="26" ht="23" customHeight="1">
      <x:c r="A26" s="11" t="str">
        <x:v>Workbook map</x:v>
      </x:c>
      <x:c r="B26" s="11" t="str">
        <x:v>Workbook map</x:v>
      </x:c>
      <x:c r="C26" s="11" t="str">
        <x:v>Workbook map</x:v>
      </x:c>
      <x:c r="D26" s="11" t="str">
        <x:v>Workbook map</x:v>
      </x:c>
      <x:c r="E26" s="11" t="str">
        <x:v>Workbook map</x:v>
      </x:c>
      <x:c r="F26" s="11" t="str">
        <x:v>Workbook map</x:v>
      </x:c>
      <x:c r="G26" s="11" t="str">
        <x:v>Workbook map</x:v>
      </x:c>
      <x:c r="H26" s="11" t="str">
        <x:v>Workbook map</x:v>
      </x:c>
      <x:c r="I26" s="11" t="str">
        <x:v>Workbook map</x:v>
      </x:c>
      <x:c r="J26" s="11" t="str">
        <x:v>Workbook map</x:v>
      </x:c>
      <x:c r="K26" s="11" t="str">
        <x:v>Workbook map</x:v>
      </x:c>
      <x:c r="L26" s="11" t="str">
        <x:v>Workbook map</x:v>
      </x:c>
    </x:row>
    <x:row r="27">
      <x:c r="A27" s="20" t="str">
        <x:v>Sheet</x:v>
      </x:c>
      <x:c r="B27" s="21" t="str">
        <x:v>Purpose</x:v>
      </x:c>
      <x:c r="C27" s="21"/>
      <x:c r="D27" s="21"/>
      <x:c r="E27" s="21"/>
      <x:c r="F27" s="22"/>
      <x:c r="H27" s="8" t="str">
        <x:v>Model use
• Update blue cells only.
• Replace forecast assumptions with CRM and time-tracking actuals monthly.
• Treat Base as an operating plan, not a promise.
• Use Conservative for cash survival and Upside for capacity planning.
• All market sizing is sensitivity-based and intentionally avoids double counting.</x:v>
      </x:c>
      <x:c r="I27" s="8"/>
      <x:c r="J27" s="8"/>
      <x:c r="K27" s="8"/>
      <x:c r="L27" s="8"/>
    </x:row>
    <x:row r="28">
      <x:c r="A28" s="238" t="str">
        <x:v>Assumptions</x:v>
      </x:c>
      <x:c r="B28" s="105" t="str">
        <x:v>Editable prices, costs, hours, volumes, funnel and overhead inputs</x:v>
      </x:c>
      <x:c r="C28" s="68"/>
      <x:c r="D28" s="68"/>
      <x:c r="E28" s="68"/>
      <x:c r="F28" s="68"/>
      <x:c r="H28" s="8"/>
      <x:c r="I28" s="8"/>
      <x:c r="J28" s="8"/>
      <x:c r="K28" s="8"/>
      <x:c r="L28" s="8"/>
    </x:row>
    <x:row r="29">
      <x:c r="A29" s="238" t="str">
        <x:v>Forecast</x:v>
      </x:c>
      <x:c r="B29" s="105" t="str">
        <x:v>Three scenarios with revenue, growth, margin, contribution and capacity</x:v>
      </x:c>
      <x:c r="C29" s="68"/>
      <x:c r="D29" s="68"/>
      <x:c r="E29" s="68"/>
      <x:c r="F29" s="68"/>
      <x:c r="H29" s="8"/>
      <x:c r="I29" s="8"/>
      <x:c r="J29" s="8"/>
      <x:c r="K29" s="8"/>
      <x:c r="L29" s="8"/>
    </x:row>
    <x:row r="30">
      <x:c r="A30" s="238" t="str">
        <x:v>Base Quarterly</x:v>
      </x:c>
      <x:c r="B30" s="105" t="str">
        <x:v>12-quarter ramp and capacity status</x:v>
      </x:c>
      <x:c r="C30" s="68"/>
      <x:c r="D30" s="68"/>
      <x:c r="E30" s="68"/>
      <x:c r="F30" s="68"/>
      <x:c r="H30" s="8"/>
      <x:c r="I30" s="8"/>
      <x:c r="J30" s="8"/>
      <x:c r="K30" s="8"/>
      <x:c r="L30" s="8"/>
    </x:row>
    <x:row r="31">
      <x:c r="A31" s="238" t="str">
        <x:v>Pricing Gap</x:v>
      </x:c>
      <x:c r="B31" s="105" t="str">
        <x:v>Reference-price vs target-price unit economics</x:v>
      </x:c>
      <x:c r="C31" s="68"/>
      <x:c r="D31" s="68"/>
      <x:c r="E31" s="68"/>
      <x:c r="F31" s="68"/>
      <x:c r="H31" s="8"/>
      <x:c r="I31" s="8"/>
      <x:c r="J31" s="8"/>
      <x:c r="K31" s="8"/>
      <x:c r="L31" s="8"/>
    </x:row>
    <x:row r="32">
      <x:c r="A32" s="238" t="str">
        <x:v>Market Evidence</x:v>
      </x:c>
      <x:c r="B32" s="105" t="str">
        <x:v>Source-backed market anchors and conservative serviceable range</x:v>
      </x:c>
      <x:c r="C32" s="68"/>
      <x:c r="D32" s="68"/>
      <x:c r="E32" s="68"/>
      <x:c r="F32" s="68"/>
      <x:c r="H32" s="8"/>
      <x:c r="I32" s="8"/>
      <x:c r="J32" s="8"/>
      <x:c r="K32" s="8"/>
      <x:c r="L32" s="8"/>
    </x:row>
    <x:row r="33">
      <x:c r="A33" s="238" t="str">
        <x:v>Funnel &amp; Capacity</x:v>
      </x:c>
      <x:c r="B33" s="105" t="str">
        <x:v>Demand requirements, stage gates and hiring sequence</x:v>
      </x:c>
      <x:c r="C33" s="68"/>
      <x:c r="D33" s="68"/>
      <x:c r="E33" s="68"/>
      <x:c r="F33" s="68"/>
      <x:c r="H33" s="8"/>
      <x:c r="I33" s="8"/>
      <x:c r="J33" s="8"/>
      <x:c r="K33" s="8"/>
      <x:c r="L33" s="8"/>
    </x:row>
    <x:row r="34">
      <x:c r="A34" s="238" t="str">
        <x:v>Checks / Sources</x:v>
      </x:c>
      <x:c r="B34" s="105" t="str">
        <x:v>Formula tie-outs and audit trail</x:v>
      </x:c>
      <x:c r="C34" s="68"/>
      <x:c r="D34" s="68"/>
      <x:c r="E34" s="68"/>
      <x:c r="F34" s="68"/>
      <x:c r="H34" s="8"/>
      <x:c r="I34" s="8"/>
      <x:c r="J34" s="8"/>
      <x:c r="K34" s="8"/>
      <x:c r="L34" s="8"/>
    </x:row>
  </x:sheetData>
  <x:mergeCells>
    <x:mergeCell ref="A1:L1"/>
    <x:mergeCell ref="A2:L3"/>
    <x:mergeCell ref="A5:L5"/>
    <x:mergeCell ref="A6:C6"/>
    <x:mergeCell ref="D6:F6"/>
    <x:mergeCell ref="G6:I6"/>
    <x:mergeCell ref="J6:L6"/>
    <x:mergeCell ref="A7:C9"/>
    <x:mergeCell ref="D7:F9"/>
    <x:mergeCell ref="G7:I9"/>
    <x:mergeCell ref="J7:L9"/>
    <x:mergeCell ref="A11:L11"/>
    <x:mergeCell ref="A12:L17"/>
    <x:mergeCell ref="A19:L19"/>
    <x:mergeCell ref="A20:L24"/>
    <x:mergeCell ref="A26:L26"/>
    <x:mergeCell ref="B27:F27"/>
    <x:mergeCell ref="B28:F28"/>
    <x:mergeCell ref="B29:F29"/>
    <x:mergeCell ref="B30:F30"/>
    <x:mergeCell ref="B31:F31"/>
    <x:mergeCell ref="B32:F32"/>
    <x:mergeCell ref="B33:F33"/>
    <x:mergeCell ref="B34:F34"/>
    <x:mergeCell ref="H27:L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7" hidden="0" customWidth="1"/>
    <x:col min="5" max="5" width="18" hidden="0" customWidth="1"/>
    <x:col min="6" max="6" width="32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1.600000381469727" hidden="0" customHeight="1">
      <x:c r="A1" s="4" t="str">
        <x:v>Heutrix Labs — Commercial Forecast Assumptions</x:v>
      </x:c>
      <x:c r="B1" s="4" t="str">
        <x:v>Heutrix Labs — Commercial Forecast Assumptions</x:v>
      </x:c>
      <x:c r="C1" s="4" t="str">
        <x:v>Heutrix Labs — Commercial Forecast Assumptions</x:v>
      </x:c>
      <x:c r="D1" s="4" t="str">
        <x:v>Heutrix Labs — Commercial Forecast Assumptions</x:v>
      </x:c>
      <x:c r="E1" s="4" t="str">
        <x:v>Heutrix Labs — Commercial Forecast Assumptions</x:v>
      </x:c>
      <x:c r="F1" s="4" t="str">
        <x:v>Heutrix Labs — Commercial Forecast Assumptions</x:v>
      </x:c>
      <x:c r="G1" s="4" t="str">
        <x:v>Heutrix Labs — Commercial Forecast Assumptions</x:v>
      </x:c>
      <x:c r="H1" s="4" t="str">
        <x:v>Heutrix Labs — Commercial Forecast Assumptions</x:v>
      </x:c>
      <x:c r="I1" s="4" t="str">
        <x:v>Heutrix Labs — Commercial Forecast Assumptions</x:v>
      </x:c>
      <x:c r="J1" s="4" t="str">
        <x:v>Heutrix Labs — Commercial Forecast Assumptions</x:v>
      </x:c>
      <x:c r="K1" s="4" t="str">
        <x:v>Heutrix Labs — Commercial Forecast Assumptions</x:v>
      </x:c>
      <x:c r="L1" s="4" t="str">
        <x:v>Heutrix Labs — Commercial Forecast Assumptions</x:v>
      </x:c>
      <x:c r="M1" s="4" t="str">
        <x:v>Heutrix Labs — Commercial Forecast Assumptions</x:v>
      </x:c>
      <x:c r="N1" s="4" t="str">
        <x:v>Heutrix Labs — Commercial Forecast Assumptions</x:v>
      </x:c>
      <x:c r="O1" s="4" t="str">
        <x:v>Heutrix Labs — Commercial Forecast Assumptions</x:v>
      </x:c>
    </x:row>
    <x:row r="2">
      <x:c r="A2" s="8" t="str">
        <x:v>Editable inputs are blue. Forecasts begin only after the launch gates are cleared: working lead capture, named trust layer, final offer/pricing, and a credible proof asset. All figures are ex GST and are planning assumptions—not historical results.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/>
    <x:row r="5" ht="15" hidden="0" customHeight="1">
      <x:c r="A5" s="11" t="str">
        <x:v>Offer economics and annual unit volumes</x:v>
      </x:c>
      <x:c r="B5" s="11" t="str">
        <x:v>Offer economics and annual unit volumes</x:v>
      </x:c>
      <x:c r="C5" s="11" t="str">
        <x:v>Offer economics and annual unit volumes</x:v>
      </x:c>
      <x:c r="D5" s="11" t="str">
        <x:v>Offer economics and annual unit volumes</x:v>
      </x:c>
      <x:c r="E5" s="11" t="str">
        <x:v>Offer economics and annual unit volumes</x:v>
      </x:c>
      <x:c r="F5" s="11" t="str">
        <x:v>Offer economics and annual unit volumes</x:v>
      </x:c>
      <x:c r="G5" s="11" t="str">
        <x:v>Offer economics and annual unit volumes</x:v>
      </x:c>
      <x:c r="H5" s="11" t="str">
        <x:v>Offer economics and annual unit volumes</x:v>
      </x:c>
      <x:c r="I5" s="11" t="str">
        <x:v>Offer economics and annual unit volumes</x:v>
      </x:c>
      <x:c r="J5" s="11" t="str">
        <x:v>Offer economics and annual unit volumes</x:v>
      </x:c>
      <x:c r="K5" s="11" t="str">
        <x:v>Offer economics and annual unit volumes</x:v>
      </x:c>
      <x:c r="L5" s="11" t="str">
        <x:v>Offer economics and annual unit volumes</x:v>
      </x:c>
      <x:c r="M5" s="11" t="str">
        <x:v>Offer economics and annual unit volumes</x:v>
      </x:c>
      <x:c r="N5" s="11" t="str">
        <x:v>Offer economics and annual unit volumes</x:v>
      </x:c>
      <x:c r="O5" s="11" t="str">
        <x:v>Offer economics and annual unit volumes</x:v>
      </x:c>
    </x:row>
    <x:row r="6" ht="15" hidden="0" customHeight="1">
      <x:c r="A6" s="20" t="str">
        <x:v>Product / scope unit</x:v>
      </x:c>
      <x:c r="B6" s="21" t="str">
        <x:v>Reference price</x:v>
      </x:c>
      <x:c r="C6" s="21" t="str">
        <x:v>Target ASP</x:v>
      </x:c>
      <x:c r="D6" s="21" t="str">
        <x:v>Loaded delivery cost</x:v>
      </x:c>
      <x:c r="E6" s="21" t="str">
        <x:v>Delivery hours</x:v>
      </x:c>
      <x:c r="F6" s="21" t="str">
        <x:v>Unit note</x:v>
      </x:c>
      <x:c r="G6" s="21" t="str">
        <x:v>Cons Y1</x:v>
      </x:c>
      <x:c r="H6" s="21" t="str">
        <x:v>Cons Y2</x:v>
      </x:c>
      <x:c r="I6" s="21" t="str">
        <x:v>Cons Y3</x:v>
      </x:c>
      <x:c r="J6" s="21" t="str">
        <x:v>Base Y1</x:v>
      </x:c>
      <x:c r="K6" s="21" t="str">
        <x:v>Base Y2</x:v>
      </x:c>
      <x:c r="L6" s="21" t="str">
        <x:v>Base Y3</x:v>
      </x:c>
      <x:c r="M6" s="21" t="str">
        <x:v>Upside Y1</x:v>
      </x:c>
      <x:c r="N6" s="21" t="str">
        <x:v>Upside Y2</x:v>
      </x:c>
      <x:c r="O6" s="22" t="str">
        <x:v>Upside Y3</x:v>
      </x:c>
    </x:row>
    <x:row r="7" ht="15" hidden="0" customHeight="1">
      <x:c r="A7" s="51" t="str">
        <x:v>Heutrix Diagnostics</x:v>
      </x:c>
      <x:c r="B7" s="37" t="n">
        <x:v>950</x:v>
      </x:c>
      <x:c r="C7" s="38" t="n">
        <x:v>2250</x:v>
      </x:c>
      <x:c r="D7" s="38" t="n">
        <x:v>900</x:v>
      </x:c>
      <x:c r="E7" s="41" t="n">
        <x:v>10</x:v>
      </x:c>
      <x:c r="F7" s="51" t="str">
        <x:v>project</x:v>
      </x:c>
      <x:c r="G7" s="48" t="n">
        <x:v>8</x:v>
      </x:c>
      <x:c r="H7" s="49" t="n">
        <x:v>12</x:v>
      </x:c>
      <x:c r="I7" s="49" t="n">
        <x:v>16</x:v>
      </x:c>
      <x:c r="J7" s="49" t="n">
        <x:v>12</x:v>
      </x:c>
      <x:c r="K7" s="49" t="n">
        <x:v>18</x:v>
      </x:c>
      <x:c r="L7" s="49" t="n">
        <x:v>24</x:v>
      </x:c>
      <x:c r="M7" s="49" t="n">
        <x:v>15</x:v>
      </x:c>
      <x:c r="N7" s="49" t="n">
        <x:v>24</x:v>
      </x:c>
      <x:c r="O7" s="49" t="n">
        <x:v>30</x:v>
      </x:c>
    </x:row>
    <x:row r="8" ht="15" hidden="0" customHeight="1">
      <x:c r="A8" s="52" t="str">
        <x:v>Heutrix Workflow Transformation — Standard</x:v>
      </x:c>
      <x:c r="B8" s="53" t="n">
        <x:v>2500</x:v>
      </x:c>
      <x:c r="C8" s="54" t="n">
        <x:v>10000</x:v>
      </x:c>
      <x:c r="D8" s="54" t="n">
        <x:v>4000</x:v>
      </x:c>
      <x:c r="E8" s="55" t="n">
        <x:v>50</x:v>
      </x:c>
      <x:c r="F8" s="52" t="str">
        <x:v>project</x:v>
      </x:c>
      <x:c r="G8" s="56" t="n">
        <x:v>3</x:v>
      </x:c>
      <x:c r="H8" s="57" t="n">
        <x:v>6</x:v>
      </x:c>
      <x:c r="I8" s="57" t="n">
        <x:v>9</x:v>
      </x:c>
      <x:c r="J8" s="57" t="n">
        <x:v>6</x:v>
      </x:c>
      <x:c r="K8" s="57" t="n">
        <x:v>10</x:v>
      </x:c>
      <x:c r="L8" s="57" t="n">
        <x:v>15</x:v>
      </x:c>
      <x:c r="M8" s="57" t="n">
        <x:v>8</x:v>
      </x:c>
      <x:c r="N8" s="57" t="n">
        <x:v>15</x:v>
      </x:c>
      <x:c r="O8" s="57" t="n">
        <x:v>22</x:v>
      </x:c>
    </x:row>
    <x:row r="9" ht="15" hidden="0" customHeight="1">
      <x:c r="A9" s="52" t="str">
        <x:v>Heutrix Workflow Transformation — Visibility</x:v>
      </x:c>
      <x:c r="B9" s="53" t="n">
        <x:v>3500</x:v>
      </x:c>
      <x:c r="C9" s="54" t="n">
        <x:v>12000</x:v>
      </x:c>
      <x:c r="D9" s="54" t="n">
        <x:v>4800</x:v>
      </x:c>
      <x:c r="E9" s="55" t="n">
        <x:v>60</x:v>
      </x:c>
      <x:c r="F9" s="52" t="str">
        <x:v>project</x:v>
      </x:c>
      <x:c r="G9" s="56" t="n">
        <x:v>1</x:v>
      </x:c>
      <x:c r="H9" s="57" t="n">
        <x:v>2</x:v>
      </x:c>
      <x:c r="I9" s="57" t="n">
        <x:v>4</x:v>
      </x:c>
      <x:c r="J9" s="57" t="n">
        <x:v>3</x:v>
      </x:c>
      <x:c r="K9" s="57" t="n">
        <x:v>5</x:v>
      </x:c>
      <x:c r="L9" s="57" t="n">
        <x:v>7</x:v>
      </x:c>
      <x:c r="M9" s="57" t="n">
        <x:v>4</x:v>
      </x:c>
      <x:c r="N9" s="57" t="n">
        <x:v>8</x:v>
      </x:c>
      <x:c r="O9" s="57" t="n">
        <x:v>12</x:v>
      </x:c>
    </x:row>
    <x:row r="10" ht="15" hidden="0" customHeight="1">
      <x:c r="A10" s="52" t="str">
        <x:v>Heutrix AI Guardrails</x:v>
      </x:c>
      <x:c r="B10" s="53" t="n">
        <x:v>1800</x:v>
      </x:c>
      <x:c r="C10" s="54" t="n">
        <x:v>5500</x:v>
      </x:c>
      <x:c r="D10" s="54" t="n">
        <x:v>2000</x:v>
      </x:c>
      <x:c r="E10" s="55" t="n">
        <x:v>30</x:v>
      </x:c>
      <x:c r="F10" s="52" t="str">
        <x:v>project</x:v>
      </x:c>
      <x:c r="G10" s="56" t="n">
        <x:v>2</x:v>
      </x:c>
      <x:c r="H10" s="57" t="n">
        <x:v>3</x:v>
      </x:c>
      <x:c r="I10" s="57" t="n">
        <x:v>4</x:v>
      </x:c>
      <x:c r="J10" s="57" t="n">
        <x:v>3</x:v>
      </x:c>
      <x:c r="K10" s="57" t="n">
        <x:v>5</x:v>
      </x:c>
      <x:c r="L10" s="57" t="n">
        <x:v>6</x:v>
      </x:c>
      <x:c r="M10" s="57" t="n">
        <x:v>4</x:v>
      </x:c>
      <x:c r="N10" s="57" t="n">
        <x:v>6</x:v>
      </x:c>
      <x:c r="O10" s="57" t="n">
        <x:v>8</x:v>
      </x:c>
    </x:row>
    <x:row r="11" ht="15" hidden="0" customHeight="1">
      <x:c r="A11" s="52" t="str">
        <x:v>Heutrix Workflow Transformation — Expanded</x:v>
      </x:c>
      <x:c r="B11" s="53" t="n">
        <x:v>4500</x:v>
      </x:c>
      <x:c r="C11" s="54" t="n">
        <x:v>20000</x:v>
      </x:c>
      <x:c r="D11" s="54" t="n">
        <x:v>8000</x:v>
      </x:c>
      <x:c r="E11" s="55" t="n">
        <x:v>100</x:v>
      </x:c>
      <x:c r="F11" s="52" t="str">
        <x:v>project</x:v>
      </x:c>
      <x:c r="G11" s="56" t="n">
        <x:v>0</x:v>
      </x:c>
      <x:c r="H11" s="57" t="n">
        <x:v>1</x:v>
      </x:c>
      <x:c r="I11" s="57" t="n">
        <x:v>2</x:v>
      </x:c>
      <x:c r="J11" s="57" t="n">
        <x:v>1</x:v>
      </x:c>
      <x:c r="K11" s="57" t="n">
        <x:v>2</x:v>
      </x:c>
      <x:c r="L11" s="57" t="n">
        <x:v>3</x:v>
      </x:c>
      <x:c r="M11" s="57" t="n">
        <x:v>2</x:v>
      </x:c>
      <x:c r="N11" s="57" t="n">
        <x:v>4</x:v>
      </x:c>
      <x:c r="O11" s="57" t="n">
        <x:v>6</x:v>
      </x:c>
    </x:row>
    <x:row r="12" ht="15" hidden="0" customHeight="1">
      <x:c r="A12" s="58" t="str">
        <x:v>Ongoing support</x:v>
      </x:c>
      <x:c r="B12" s="33" t="n">
        <x:v>0</x:v>
      </x:c>
      <x:c r="C12" s="34" t="n">
        <x:v>1250</x:v>
      </x:c>
      <x:c r="D12" s="34" t="n">
        <x:v>350</x:v>
      </x:c>
      <x:c r="E12" s="39" t="n">
        <x:v>4</x:v>
      </x:c>
      <x:c r="F12" s="58" t="str">
        <x:v>account-month</x:v>
      </x:c>
      <x:c r="G12" s="42" t="n">
        <x:v>6</x:v>
      </x:c>
      <x:c r="H12" s="43" t="n">
        <x:v>24</x:v>
      </x:c>
      <x:c r="I12" s="43" t="n">
        <x:v>48</x:v>
      </x:c>
      <x:c r="J12" s="43" t="n">
        <x:v>18</x:v>
      </x:c>
      <x:c r="K12" s="43" t="n">
        <x:v>48</x:v>
      </x:c>
      <x:c r="L12" s="43" t="n">
        <x:v>84</x:v>
      </x:c>
      <x:c r="M12" s="43" t="n">
        <x:v>24</x:v>
      </x:c>
      <x:c r="N12" s="43" t="n">
        <x:v>72</x:v>
      </x:c>
      <x:c r="O12" s="43" t="n">
        <x:v>144</x:v>
      </x:c>
    </x:row>
    <x:row r="13"/>
    <x:row r="14" ht="15" hidden="0" customHeight="1">
      <x:c r="A14" s="11" t="str">
        <x:v>Business and funnel drivers</x:v>
      </x:c>
      <x:c r="B14" s="11" t="str">
        <x:v>Business and funnel drivers</x:v>
      </x:c>
      <x:c r="C14" s="11" t="str">
        <x:v>Business and funnel drivers</x:v>
      </x:c>
      <x:c r="D14" s="11" t="str">
        <x:v>Business and funnel drivers</x:v>
      </x:c>
      <x:c r="E14" s="11" t="str">
        <x:v>Business and funnel drivers</x:v>
      </x:c>
      <x:c r="F14" s="11" t="str">
        <x:v>Business and funnel drivers</x:v>
      </x:c>
      <x:c r="H14" s="11" t="str">
        <x:v>Fixed operating expense by year</x:v>
      </x:c>
      <x:c r="I14" s="11" t="str">
        <x:v>Fixed operating expense by year</x:v>
      </x:c>
      <x:c r="J14" s="11" t="str">
        <x:v>Fixed operating expense by year</x:v>
      </x:c>
      <x:c r="K14" s="11" t="str">
        <x:v>Fixed operating expense by year</x:v>
      </x:c>
      <x:c r="L14" s="11" t="str">
        <x:v>Fixed operating expense by year</x:v>
      </x:c>
      <x:c r="M14" s="11" t="str">
        <x:v>Fixed operating expense by year</x:v>
      </x:c>
      <x:c r="N14" s="11" t="str">
        <x:v>Fixed operating expense by year</x:v>
      </x:c>
      <x:c r="O14" s="11" t="str">
        <x:v>Fixed operating expense by year</x:v>
      </x:c>
    </x:row>
    <x:row r="15" ht="15" hidden="0" customHeight="1">
      <x:c r="A15" s="20" t="str">
        <x:v>Driver</x:v>
      </x:c>
      <x:c r="B15" s="21" t="str">
        <x:v>Conservative</x:v>
      </x:c>
      <x:c r="C15" s="21" t="str">
        <x:v>Base</x:v>
      </x:c>
      <x:c r="D15" s="21" t="str">
        <x:v>Upside</x:v>
      </x:c>
      <x:c r="E15" s="21" t="str">
        <x:v>Unit</x:v>
      </x:c>
      <x:c r="F15" s="22" t="str">
        <x:v>Rationale</x:v>
      </x:c>
      <x:c r="H15" s="20" t="str">
        <x:v>Scenario</x:v>
      </x:c>
      <x:c r="I15" s="21" t="str">
        <x:v>Year 1</x:v>
      </x:c>
      <x:c r="J15" s="21" t="str">
        <x:v>Year 2</x:v>
      </x:c>
      <x:c r="K15" s="22" t="str">
        <x:v>Year 3</x:v>
      </x:c>
    </x:row>
    <x:row r="16" ht="15" hidden="0" customHeight="1">
      <x:c r="A16" t="str">
        <x:v>Delivery capacity per FTE</x:v>
      </x:c>
      <x:c r="B16" s="42" t="n">
        <x:v>1170</x:v>
      </x:c>
      <x:c r="C16" s="43" t="n">
        <x:v>1170</x:v>
      </x:c>
      <x:c r="D16" s="44" t="n">
        <x:v>1170</x:v>
      </x:c>
      <x:c r="E16" t="str">
        <x:v>delivery hours/year</x:v>
      </x:c>
      <x:c r="F16" s="68" t="str">
        <x:v>1,800 paid hours × 65% delivery utilisation</x:v>
      </x:c>
      <x:c r="H16" t="str">
        <x:v>Conservative</x:v>
      </x:c>
      <x:c r="I16" s="33" t="n">
        <x:v>45000</x:v>
      </x:c>
      <x:c r="J16" s="34" t="n">
        <x:v>65000</x:v>
      </x:c>
      <x:c r="K16" s="65" t="n">
        <x:v>85000</x:v>
      </x:c>
    </x:row>
    <x:row r="17" ht="15" hidden="0" customHeight="1">
      <x:c r="A17" t="str">
        <x:v>Qualified opportunity to customer</x:v>
      </x:c>
      <x:c r="B17" s="59" t="n">
        <x:v>0.18</x:v>
      </x:c>
      <x:c r="C17" s="60" t="n">
        <x:v>0.25</x:v>
      </x:c>
      <x:c r="D17" s="61" t="n">
        <x:v>0.32</x:v>
      </x:c>
      <x:c r="E17" t="str">
        <x:v>%</x:v>
      </x:c>
      <x:c r="F17" s="68" t="str">
        <x:v>Planning range; replace with CRM actuals</x:v>
      </x:c>
      <x:c r="H17" t="str">
        <x:v>Base</x:v>
      </x:c>
      <x:c r="I17" s="35" t="n">
        <x:v>55000</x:v>
      </x:c>
      <x:c r="J17" s="36" t="n">
        <x:v>85000</x:v>
      </x:c>
      <x:c r="K17" s="66" t="n">
        <x:v>120000</x:v>
      </x:c>
    </x:row>
    <x:row r="18" ht="15" hidden="0" customHeight="1">
      <x:c r="A18" t="str">
        <x:v>Relevant visitor to qualified opportunity</x:v>
      </x:c>
      <x:c r="B18" s="59" t="n">
        <x:v>0.015</x:v>
      </x:c>
      <x:c r="C18" s="60" t="n">
        <x:v>0.025</x:v>
      </x:c>
      <x:c r="D18" s="61" t="n">
        <x:v>0.035</x:v>
      </x:c>
      <x:c r="E18" t="str">
        <x:v>%</x:v>
      </x:c>
      <x:c r="F18" s="68" t="str">
        <x:v>Web-equivalent benchmark; multi-channel demand is recommended</x:v>
      </x:c>
      <x:c r="H18" t="str">
        <x:v>Upside</x:v>
      </x:c>
      <x:c r="I18" s="37" t="n">
        <x:v>70000</x:v>
      </x:c>
      <x:c r="J18" s="38" t="n">
        <x:v>120000</x:v>
      </x:c>
      <x:c r="K18" s="67" t="n">
        <x:v>180000</x:v>
      </x:c>
    </x:row>
    <x:row r="19" ht="15" hidden="0" customHeight="1">
      <x:c r="A19" t="str">
        <x:v>Diagnostics conversion to implementation</x:v>
      </x:c>
      <x:c r="B19" s="59" t="n">
        <x:v>0.4</x:v>
      </x:c>
      <x:c r="C19" s="60" t="n">
        <x:v>0.5</x:v>
      </x:c>
      <x:c r="D19" s="61" t="n">
        <x:v>0.6</x:v>
      </x:c>
      <x:c r="E19" t="str">
        <x:v>%</x:v>
      </x:c>
      <x:c r="F19" s="68" t="str">
        <x:v>Avoids double-counting converted Diagnostics buyers</x:v>
      </x:c>
    </x:row>
    <x:row r="20" ht="15" hidden="0" customHeight="1">
      <x:c r="A20" t="str">
        <x:v>Target gross margin</x:v>
      </x:c>
      <x:c r="B20" s="59" t="n">
        <x:v>0.6</x:v>
      </x:c>
      <x:c r="C20" s="60" t="n">
        <x:v>0.65</x:v>
      </x:c>
      <x:c r="D20" s="61" t="n">
        <x:v>0.68</x:v>
      </x:c>
      <x:c r="E20" t="str">
        <x:v>%</x:v>
      </x:c>
      <x:c r="F20" s="68" t="str">
        <x:v>Launch-review target is 60–70%</x:v>
      </x:c>
      <x:c r="H20" s="8" t="str">
        <x:v>Loaded delivery cost includes delivery labour, routine tools and contractor effort attributable to a unit. Fixed operating expense covers the remaining insurance, software, legal/accounting, marketing and overhead. Replace both with actuals before using the model for hiring or cash commitments.</x:v>
      </x:c>
      <x:c r="I20" s="8"/>
      <x:c r="J20" s="8"/>
      <x:c r="K20" s="8"/>
      <x:c r="L20" s="8"/>
      <x:c r="M20" s="8"/>
      <x:c r="N20" s="8"/>
      <x:c r="O20" s="8"/>
    </x:row>
    <x:row r="21" ht="15" hidden="0" customHeight="1">
      <x:c r="A21" t="str">
        <x:v>Founder/non-delivery load</x:v>
      </x:c>
      <x:c r="B21" s="62" t="n">
        <x:v>0.4</x:v>
      </x:c>
      <x:c r="C21" s="63" t="n">
        <x:v>0.35</x:v>
      </x:c>
      <x:c r="D21" s="64" t="n">
        <x:v>0.3</x:v>
      </x:c>
      <x:c r="E21" t="str">
        <x:v>% of total time</x:v>
      </x:c>
      <x:c r="F21" s="68" t="str">
        <x:v>Sales, admin, management, productisation</x:v>
      </x:c>
      <x:c r="H21" s="8"/>
      <x:c r="I21" s="8"/>
      <x:c r="J21" s="8"/>
      <x:c r="K21" s="8"/>
      <x:c r="L21" s="8"/>
      <x:c r="M21" s="8"/>
      <x:c r="N21" s="8"/>
      <x:c r="O21" s="8"/>
    </x:row>
    <x:row r="22">
      <x:c r="H22" s="8"/>
      <x:c r="I22" s="8"/>
      <x:c r="J22" s="8"/>
      <x:c r="K22" s="8"/>
      <x:c r="L22" s="8"/>
      <x:c r="M22" s="8"/>
      <x:c r="N22" s="8"/>
      <x:c r="O22" s="8"/>
    </x:row>
  </x:sheetData>
  <x:mergeCells>
    <x:mergeCell ref="A1:O1"/>
    <x:mergeCell ref="A2:O3"/>
    <x:mergeCell ref="A5:O5"/>
    <x:mergeCell ref="A14:F14"/>
    <x:mergeCell ref="H14:O14"/>
    <x:mergeCell ref="H20:O22"/>
  </x:mergeCells>
  <x:pageMargins left="0.7" right="0.7" top="0.75" bottom="0.75" header="0.3" footer="0.3"/>
  <x:legacyDrawing xmlns:r="http://schemas.openxmlformats.org/officeDocument/2006/relationships" r:id="R31f80e61bb3b412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36.38000106811523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36.380001068115234" hidden="0" customWidth="1"/>
    <x:col min="11" max="11" width="36.380001068115234" hidden="0" customWidth="1"/>
  </x:cols>
  <x:sheetData>
    <x:row r="1" ht="21.600000381469727" hidden="0" customHeight="1">
      <x:c r="A1" s="4" t="str">
        <x:v>Three-Year Scenario Forecast</x:v>
      </x:c>
      <x:c r="B1" s="4" t="str">
        <x:v>Three-Year Scenario Forecast</x:v>
      </x:c>
      <x:c r="C1" s="4" t="str">
        <x:v>Three-Year Scenario Forecast</x:v>
      </x:c>
      <x:c r="D1" s="4" t="str">
        <x:v>Three-Year Scenario Forecast</x:v>
      </x:c>
      <x:c r="E1" s="4" t="str">
        <x:v>Three-Year Scenario Forecast</x:v>
      </x:c>
      <x:c r="F1" s="4" t="str">
        <x:v>Three-Year Scenario Forecast</x:v>
      </x:c>
      <x:c r="G1" s="4" t="str">
        <x:v>Three-Year Scenario Forecast</x:v>
      </x:c>
      <x:c r="H1" s="4" t="str">
        <x:v>Three-Year Scenario Forecast</x:v>
      </x:c>
      <x:c r="I1" s="4" t="str">
        <x:v>Three-Year Scenario Forecast</x:v>
      </x:c>
      <x:c r="J1" s="4" t="str">
        <x:v>Three-Year Scenario Forecast</x:v>
      </x:c>
      <x:c r="K1" s="4" t="str">
        <x:v>Three-Year Scenario Forecast</x:v>
      </x:c>
    </x:row>
    <x:row r="2">
      <x:c r="A2" s="239" t="str">
        <x:v>Years are the first, second and third 12-month periods after commercial readiness—not calendar-year guidance. Revenue, gross profit, capacity and operating contribution are formula-driven from Assumptions.</x:v>
      </x:c>
      <x:c r="B2" s="239"/>
      <x:c r="C2" s="239"/>
      <x:c r="D2" s="239"/>
      <x:c r="E2" s="239"/>
      <x:c r="F2" s="239"/>
      <x:c r="G2" s="239"/>
      <x:c r="H2" s="239"/>
      <x:c r="I2" s="239"/>
      <x:c r="J2" s="239"/>
      <x:c r="K2" s="239"/>
    </x:row>
    <x:row r="3">
      <x:c r="A3" s="239"/>
      <x:c r="B3" s="239"/>
      <x:c r="C3" s="239"/>
      <x:c r="D3" s="239"/>
      <x:c r="E3" s="239"/>
      <x:c r="F3" s="239"/>
      <x:c r="G3" s="239"/>
      <x:c r="H3" s="239"/>
      <x:c r="I3" s="239"/>
      <x:c r="J3" s="239"/>
      <x:c r="K3" s="239"/>
    </x:row>
    <x:row r="4">
      <x:c r="A4" s="240"/>
      <x:c r="B4" s="240"/>
      <x:c r="C4" s="240"/>
      <x:c r="D4" s="240"/>
      <x:c r="E4" s="240"/>
      <x:c r="F4" s="240"/>
      <x:c r="G4" s="240"/>
      <x:c r="H4" s="240"/>
      <x:c r="I4" s="240"/>
      <x:c r="J4" s="240"/>
      <x:c r="K4" s="240"/>
    </x:row>
    <x:row r="5">
      <x:c r="A5" s="240"/>
      <x:c r="B5" s="240"/>
      <x:c r="C5" s="240"/>
      <x:c r="D5" s="240"/>
      <x:c r="E5" s="240"/>
      <x:c r="F5" s="240"/>
      <x:c r="G5" s="240"/>
      <x:c r="H5" s="240"/>
      <x:c r="I5" s="240"/>
      <x:c r="J5" s="240"/>
      <x:c r="K5" s="240"/>
    </x:row>
    <x:row r="6" ht="15" hidden="0" customHeight="1">
      <x:c r="A6" s="11" t="str">
        <x:v>Conservative scenario</x:v>
      </x:c>
      <x:c r="B6" s="11" t="str">
        <x:v>Conservative scenario</x:v>
      </x:c>
      <x:c r="C6" s="11" t="str">
        <x:v>Conservative scenario</x:v>
      </x:c>
      <x:c r="D6" s="11" t="str">
        <x:v>Conservative scenario</x:v>
      </x:c>
      <x:c r="E6" s="240"/>
      <x:c r="F6" s="11" t="str">
        <x:v>Revenue comparison ($, ex GST)</x:v>
      </x:c>
      <x:c r="G6" s="11" t="str">
        <x:v>Revenue comparison ($, ex GST)</x:v>
      </x:c>
      <x:c r="H6" s="11" t="str">
        <x:v>Revenue comparison ($, ex GST)</x:v>
      </x:c>
      <x:c r="I6" s="11" t="str">
        <x:v>Revenue comparison ($, ex GST)</x:v>
      </x:c>
      <x:c r="J6" s="11" t="str">
        <x:v>Revenue comparison ($, ex GST)</x:v>
      </x:c>
      <x:c r="K6" s="11" t="str">
        <x:v>Revenue comparison ($, ex GST)</x:v>
      </x:c>
    </x:row>
    <x:row r="7" ht="15" hidden="0" customHeight="1">
      <x:c r="A7" s="20" t="str">
        <x:v>Metric</x:v>
      </x:c>
      <x:c r="B7" s="21" t="str">
        <x:v>Year 1</x:v>
      </x:c>
      <x:c r="C7" s="21" t="str">
        <x:v>Year 2</x:v>
      </x:c>
      <x:c r="D7" s="22" t="str">
        <x:v>Year 3</x:v>
      </x:c>
      <x:c r="E7" s="240"/>
      <x:c r="F7" s="20" t="str">
        <x:v>Scenario</x:v>
      </x:c>
      <x:c r="G7" s="21" t="str">
        <x:v>Year 1</x:v>
      </x:c>
      <x:c r="H7" s="21" t="str">
        <x:v>Year 2</x:v>
      </x:c>
      <x:c r="I7" s="22" t="str">
        <x:v>Year 3</x:v>
      </x:c>
      <x:c r="J7" s="240"/>
      <x:c r="K7" s="240"/>
    </x:row>
    <x:row r="8" ht="15" hidden="0" customHeight="1">
      <x:c r="A8" s="241" t="str">
        <x:v>Revenue</x:v>
      </x:c>
      <x:c r="B8" s="242" t="n">
        <x:f>SUMPRODUCT('Assumptions'!$C$7:$C$12,'Assumptions'!$G$7:$G$12)</x:f>
        <x:v>78500</x:v>
      </x:c>
      <x:c r="C8" s="242" t="n">
        <x:f>SUMPRODUCT('Assumptions'!$C$7:$C$12,'Assumptions'!$H$7:$H$12)</x:f>
        <x:v>177500</x:v>
      </x:c>
      <x:c r="D8" s="242" t="n">
        <x:f>SUMPRODUCT('Assumptions'!$C$7:$C$12,'Assumptions'!$I$7:$I$12)</x:f>
        <x:v>296000</x:v>
      </x:c>
      <x:c r="E8" s="240"/>
      <x:c r="F8" s="240" t="str">
        <x:v>Conservative</x:v>
      </x:c>
      <x:c r="G8" s="243" t="n">
        <x:f>B8</x:f>
        <x:v>78500</x:v>
      </x:c>
      <x:c r="H8" s="243" t="n">
        <x:f>C8</x:f>
        <x:v>177500</x:v>
      </x:c>
      <x:c r="I8" s="243" t="n">
        <x:f>D8</x:f>
        <x:v>296000</x:v>
      </x:c>
      <x:c r="J8" s="240"/>
      <x:c r="K8" s="240"/>
    </x:row>
    <x:row r="9" ht="15" hidden="0" customHeight="1">
      <x:c r="A9" s="244" t="str">
        <x:v>YoY growth</x:v>
      </x:c>
      <x:c r="B9" s="245"/>
      <x:c r="C9" s="245" t="n">
        <x:f>C8/B8-1</x:f>
        <x:v>1.2611464968152868</x:v>
      </x:c>
      <x:c r="D9" s="245" t="n">
        <x:f>D8/C8-1</x:f>
        <x:v>0.6676056338028169</x:v>
      </x:c>
      <x:c r="E9" s="240"/>
      <x:c r="F9" s="240" t="str">
        <x:v>Base</x:v>
      </x:c>
      <x:c r="G9" s="243" t="n">
        <x:f>B26</x:f>
        <x:v>182000</x:v>
      </x:c>
      <x:c r="H9" s="243" t="n">
        <x:f>C26</x:f>
        <x:v>328000</x:v>
      </x:c>
      <x:c r="I9" s="243" t="n">
        <x:f>D26</x:f>
        <x:v>486000</x:v>
      </x:c>
      <x:c r="J9" s="240"/>
      <x:c r="K9" s="240"/>
    </x:row>
    <x:row r="10" ht="15" hidden="0" customHeight="1">
      <x:c r="A10" s="244" t="str">
        <x:v>Loaded delivery cost</x:v>
      </x:c>
      <x:c r="B10" s="246" t="n">
        <x:f>SUMPRODUCT('Assumptions'!$D$7:$D$12,'Assumptions'!$G$7:$G$12)</x:f>
        <x:v>30100</x:v>
      </x:c>
      <x:c r="C10" s="246" t="n">
        <x:f>SUMPRODUCT('Assumptions'!$D$7:$D$12,'Assumptions'!$H$7:$H$12)</x:f>
        <x:v>66800</x:v>
      </x:c>
      <x:c r="D10" s="246" t="n">
        <x:f>SUMPRODUCT('Assumptions'!$D$7:$D$12,'Assumptions'!$I$7:$I$12)</x:f>
        <x:v>110400</x:v>
      </x:c>
      <x:c r="E10" s="240"/>
      <x:c r="F10" s="240" t="str">
        <x:v>Upside</x:v>
      </x:c>
      <x:c r="G10" s="243" t="n">
        <x:f>B44</x:f>
        <x:v>253750</x:v>
      </x:c>
      <x:c r="H10" s="243" t="n">
        <x:f>C44</x:f>
        <x:v>503000</x:v>
      </x:c>
      <x:c r="I10" s="243" t="n">
        <x:f>D44</x:f>
        <x:v>775500</x:v>
      </x:c>
      <x:c r="J10" s="240"/>
      <x:c r="K10" s="240"/>
    </x:row>
    <x:row r="11" ht="15" hidden="0" customHeight="1">
      <x:c r="A11" s="247" t="str">
        <x:v>Gross profit</x:v>
      </x:c>
      <x:c r="B11" s="248" t="n">
        <x:f>B8-B10</x:f>
        <x:v>48400</x:v>
      </x:c>
      <x:c r="C11" s="248" t="n">
        <x:f>C8-C10</x:f>
        <x:v>110700</x:v>
      </x:c>
      <x:c r="D11" s="248" t="n">
        <x:f>D8-D10</x:f>
        <x:v>185600</x:v>
      </x:c>
      <x:c r="E11" s="240"/>
      <x:c r="F11" s="240"/>
      <x:c r="G11" s="240"/>
      <x:c r="H11" s="240"/>
      <x:c r="I11" s="240"/>
      <x:c r="J11" s="240"/>
      <x:c r="K11" s="240"/>
    </x:row>
    <x:row r="12" ht="15" hidden="0" customHeight="1">
      <x:c r="A12" s="247" t="str">
        <x:v>Gross margin</x:v>
      </x:c>
      <x:c r="B12" s="249" t="n">
        <x:f>B11/B8</x:f>
        <x:v>0.6165605095541401</x:v>
      </x:c>
      <x:c r="C12" s="249" t="n">
        <x:f>C11/C8</x:f>
        <x:v>0.6236619718309859</x:v>
      </x:c>
      <x:c r="D12" s="249" t="n">
        <x:f>D11/D8</x:f>
        <x:v>0.6270270270270271</x:v>
      </x:c>
      <x:c r="E12" s="240"/>
      <x:c r="F12" s="240"/>
      <x:c r="G12" s="240"/>
      <x:c r="H12" s="240"/>
      <x:c r="I12" s="240"/>
      <x:c r="J12" s="240"/>
      <x:c r="K12" s="240"/>
    </x:row>
    <x:row r="13" ht="15" hidden="0" customHeight="1">
      <x:c r="A13" s="244" t="str">
        <x:v>Fixed operating expense</x:v>
      </x:c>
      <x:c r="B13" s="246" t="n">
        <x:f>'Assumptions'!I$16</x:f>
        <x:v>45000</x:v>
      </x:c>
      <x:c r="C13" s="246" t="n">
        <x:f>'Assumptions'!J$16</x:f>
        <x:v>65000</x:v>
      </x:c>
      <x:c r="D13" s="246" t="n">
        <x:f>'Assumptions'!K$16</x:f>
        <x:v>85000</x:v>
      </x:c>
      <x:c r="E13" s="240"/>
      <x:c r="F13" s="240"/>
      <x:c r="G13" s="240"/>
      <x:c r="H13" s="240"/>
      <x:c r="I13" s="240"/>
      <x:c r="J13" s="240"/>
      <x:c r="K13" s="240"/>
    </x:row>
    <x:row r="14" ht="15" hidden="0" customHeight="1">
      <x:c r="A14" s="250" t="str">
        <x:v>Operating contribution</x:v>
      </x:c>
      <x:c r="B14" s="251" t="n">
        <x:f>B11-B13</x:f>
        <x:v>3400</x:v>
      </x:c>
      <x:c r="C14" s="251" t="n">
        <x:f>C11-C13</x:f>
        <x:v>45700</x:v>
      </x:c>
      <x:c r="D14" s="251" t="n">
        <x:f>D11-D13</x:f>
        <x:v>100600</x:v>
      </x:c>
      <x:c r="E14" s="240"/>
      <x:c r="F14" s="240"/>
      <x:c r="G14" s="240"/>
      <x:c r="H14" s="240"/>
      <x:c r="I14" s="240"/>
      <x:c r="J14" s="240"/>
      <x:c r="K14" s="240"/>
    </x:row>
    <x:row r="15" ht="15" hidden="0" customHeight="1">
      <x:c r="A15" s="250" t="str">
        <x:v>Contribution margin</x:v>
      </x:c>
      <x:c r="B15" s="252" t="n">
        <x:f>B14/B8</x:f>
        <x:v>0.04331210191082802</x:v>
      </x:c>
      <x:c r="C15" s="252" t="n">
        <x:f>C14/C8</x:f>
        <x:v>0.25746478873239437</x:v>
      </x:c>
      <x:c r="D15" s="252" t="n">
        <x:f>D14/D8</x:f>
        <x:v>0.3398648648648649</x:v>
      </x:c>
      <x:c r="E15" s="240"/>
      <x:c r="F15" s="240"/>
      <x:c r="G15" s="240"/>
      <x:c r="H15" s="240"/>
      <x:c r="I15" s="240"/>
      <x:c r="J15" s="240"/>
      <x:c r="K15" s="240"/>
    </x:row>
    <x:row r="16" ht="15" hidden="0" customHeight="1">
      <x:c r="A16" s="244" t="str">
        <x:v>Delivery hours</x:v>
      </x:c>
      <x:c r="B16" s="253" t="n">
        <x:f>SUMPRODUCT('Assumptions'!$E$7:$E$12,'Assumptions'!$G$7:$G$12)</x:f>
        <x:v>374</x:v>
      </x:c>
      <x:c r="C16" s="253" t="n">
        <x:f>SUMPRODUCT('Assumptions'!$E$7:$E$12,'Assumptions'!$H$7:$H$12)</x:f>
        <x:v>826</x:v>
      </x:c>
      <x:c r="D16" s="253" t="n">
        <x:f>SUMPRODUCT('Assumptions'!$E$7:$E$12,'Assumptions'!$I$7:$I$12)</x:f>
        <x:v>1362</x:v>
      </x:c>
      <x:c r="E16" s="240"/>
      <x:c r="F16" s="240"/>
      <x:c r="G16" s="240"/>
      <x:c r="H16" s="240"/>
      <x:c r="I16" s="240"/>
      <x:c r="J16" s="240"/>
      <x:c r="K16" s="240"/>
    </x:row>
    <x:row r="17" ht="15" hidden="0" customHeight="1">
      <x:c r="A17" s="254" t="str">
        <x:v>Delivery FTE required</x:v>
      </x:c>
      <x:c r="B17" s="255" t="n">
        <x:f>B16/'Assumptions'!$B$16</x:f>
        <x:v>0.31965811965811963</x:v>
      </x:c>
      <x:c r="C17" s="255" t="n">
        <x:f>C16/'Assumptions'!$B$16</x:f>
        <x:v>0.705982905982906</x:v>
      </x:c>
      <x:c r="D17" s="255" t="n">
        <x:f>D16/'Assumptions'!$B$16</x:f>
        <x:v>1.1641025641025642</x:v>
      </x:c>
      <x:c r="E17" s="240"/>
      <x:c r="F17" s="240"/>
      <x:c r="G17" s="240"/>
      <x:c r="H17" s="240"/>
      <x:c r="I17" s="240"/>
      <x:c r="J17" s="240"/>
      <x:c r="K17" s="240"/>
    </x:row>
    <x:row r="18" ht="15" hidden="0" customHeight="1">
      <x:c r="A18" s="244" t="str">
        <x:v>Unique customer wins</x:v>
      </x:c>
      <x:c r="B18" s="253" t="n">
        <x:f>'Assumptions'!$G$7+SUM('Assumptions'!$G$8:$G$11)-MIN('Assumptions'!$G$7*'Assumptions'!$B$19,SUM('Assumptions'!$G$8:$G$11))</x:f>
        <x:v>10.8</x:v>
      </x:c>
      <x:c r="C18" s="253" t="n">
        <x:f>'Assumptions'!$H$7+SUM('Assumptions'!$H$8:$H$11)-MIN('Assumptions'!$H$7*'Assumptions'!$B$19,SUM('Assumptions'!$H$8:$H$11))</x:f>
        <x:v>19.2</x:v>
      </x:c>
      <x:c r="D18" s="253" t="n">
        <x:f>'Assumptions'!$I$7+SUM('Assumptions'!$I$8:$I$11)-MIN('Assumptions'!$I$7*'Assumptions'!$B$19,SUM('Assumptions'!$I$8:$I$11))</x:f>
        <x:v>28.6</x:v>
      </x:c>
      <x:c r="E18" s="240"/>
      <x:c r="F18" s="240"/>
      <x:c r="G18" s="240"/>
      <x:c r="H18" s="240"/>
      <x:c r="I18" s="240"/>
      <x:c r="J18" s="240"/>
      <x:c r="K18" s="240"/>
    </x:row>
    <x:row r="19" ht="15" hidden="0" customHeight="1">
      <x:c r="A19" s="244" t="str">
        <x:v>Qualified opportunities required</x:v>
      </x:c>
      <x:c r="B19" s="253" t="n">
        <x:f>B18/'Assumptions'!$B$17</x:f>
        <x:v>60.00000000000001</x:v>
      </x:c>
      <x:c r="C19" s="253" t="n">
        <x:f>C18/'Assumptions'!$B$17</x:f>
        <x:v>106.66666666666667</x:v>
      </x:c>
      <x:c r="D19" s="253" t="n">
        <x:f>D18/'Assumptions'!$B$17</x:f>
        <x:v>158.8888888888889</x:v>
      </x:c>
      <x:c r="E19" s="240"/>
      <x:c r="F19" s="240"/>
      <x:c r="G19" s="240"/>
      <x:c r="H19" s="240"/>
      <x:c r="I19" s="240"/>
      <x:c r="J19" s="240"/>
      <x:c r="K19" s="240"/>
    </x:row>
    <x:row r="20" ht="15" hidden="0" customHeight="1">
      <x:c r="A20" s="244" t="str">
        <x:v>Relevant visits required (web-equivalent)</x:v>
      </x:c>
      <x:c r="B20" s="253" t="n">
        <x:f>B19/'Assumptions'!$B$18</x:f>
        <x:v>4000.0000000000005</x:v>
      </x:c>
      <x:c r="C20" s="253" t="n">
        <x:f>C19/'Assumptions'!$B$18</x:f>
        <x:v>7111.111111111111</x:v>
      </x:c>
      <x:c r="D20" s="253" t="n">
        <x:f>D19/'Assumptions'!$B$18</x:f>
        <x:v>10592.592592592595</x:v>
      </x:c>
      <x:c r="E20" s="240"/>
      <x:c r="F20" s="240"/>
      <x:c r="G20" s="240"/>
      <x:c r="H20" s="240"/>
      <x:c r="I20" s="240"/>
      <x:c r="J20" s="240"/>
      <x:c r="K20" s="240"/>
    </x:row>
    <x:row r="21" ht="15" hidden="0" customHeight="1">
      <x:c r="A21" s="256" t="str">
        <x:v>Revenue per delivery hour</x:v>
      </x:c>
      <x:c r="B21" s="257" t="n">
        <x:f>B8/B16</x:f>
        <x:v>209.89304812834226</x:v>
      </x:c>
      <x:c r="C21" s="257" t="n">
        <x:f>C8/C16</x:f>
        <x:v>214.8910411622276</x:v>
      </x:c>
      <x:c r="D21" s="257" t="n">
        <x:f>D8/D16</x:f>
        <x:v>217.3274596182085</x:v>
      </x:c>
      <x:c r="E21" s="240"/>
      <x:c r="F21" s="240"/>
      <x:c r="G21" s="240"/>
      <x:c r="H21" s="240"/>
      <x:c r="I21" s="240"/>
      <x:c r="J21" s="240"/>
      <x:c r="K21" s="240"/>
    </x:row>
    <x:row r="22">
      <x:c r="A22" s="240"/>
      <x:c r="B22" s="240"/>
      <x:c r="C22" s="240"/>
      <x:c r="D22" s="240"/>
      <x:c r="E22" s="240"/>
      <x:c r="F22" s="240"/>
      <x:c r="G22" s="240"/>
      <x:c r="H22" s="240"/>
      <x:c r="I22" s="240"/>
      <x:c r="J22" s="240"/>
      <x:c r="K22" s="240"/>
    </x:row>
    <x:row r="23">
      <x:c r="A23" s="240"/>
      <x:c r="B23" s="240"/>
      <x:c r="C23" s="240"/>
      <x:c r="D23" s="240"/>
      <x:c r="E23" s="240"/>
      <x:c r="F23" s="240"/>
      <x:c r="G23" s="240"/>
      <x:c r="H23" s="240"/>
      <x:c r="I23" s="240"/>
      <x:c r="J23" s="240"/>
      <x:c r="K23" s="240"/>
    </x:row>
    <x:row r="24" ht="15" hidden="0" customHeight="1">
      <x:c r="A24" s="11" t="str">
        <x:v>Base scenario</x:v>
      </x:c>
      <x:c r="B24" s="11" t="str">
        <x:v>Base scenario</x:v>
      </x:c>
      <x:c r="C24" s="11" t="str">
        <x:v>Base scenario</x:v>
      </x:c>
      <x:c r="D24" s="11" t="str">
        <x:v>Base scenario</x:v>
      </x:c>
      <x:c r="E24" s="240"/>
      <x:c r="F24" s="240"/>
      <x:c r="G24" s="240"/>
      <x:c r="H24" s="240"/>
      <x:c r="I24" s="240"/>
      <x:c r="J24" s="240"/>
      <x:c r="K24" s="240"/>
    </x:row>
    <x:row r="25" ht="15" hidden="0" customHeight="1">
      <x:c r="A25" s="20" t="str">
        <x:v>Metric</x:v>
      </x:c>
      <x:c r="B25" s="21" t="str">
        <x:v>Year 1</x:v>
      </x:c>
      <x:c r="C25" s="21" t="str">
        <x:v>Year 2</x:v>
      </x:c>
      <x:c r="D25" s="22" t="str">
        <x:v>Year 3</x:v>
      </x:c>
      <x:c r="E25" s="240"/>
      <x:c r="F25" s="240"/>
      <x:c r="G25" s="240"/>
      <x:c r="H25" s="240"/>
      <x:c r="I25" s="240"/>
      <x:c r="J25" s="240"/>
      <x:c r="K25" s="240"/>
    </x:row>
    <x:row r="26" ht="15" hidden="0" customHeight="1">
      <x:c r="A26" s="241" t="str">
        <x:v>Revenue</x:v>
      </x:c>
      <x:c r="B26" s="242" t="n">
        <x:f>SUMPRODUCT('Assumptions'!$C$7:$C$12,'Assumptions'!$J$7:$J$12)</x:f>
        <x:v>182000</x:v>
      </x:c>
      <x:c r="C26" s="242" t="n">
        <x:f>SUMPRODUCT('Assumptions'!$C$7:$C$12,'Assumptions'!$K$7:$K$12)</x:f>
        <x:v>328000</x:v>
      </x:c>
      <x:c r="D26" s="242" t="n">
        <x:f>SUMPRODUCT('Assumptions'!$C$7:$C$12,'Assumptions'!$L$7:$L$12)</x:f>
        <x:v>486000</x:v>
      </x:c>
      <x:c r="E26" s="240"/>
      <x:c r="F26" s="240"/>
      <x:c r="G26" s="240"/>
      <x:c r="H26" s="240"/>
      <x:c r="I26" s="240"/>
      <x:c r="J26" s="240"/>
      <x:c r="K26" s="240"/>
    </x:row>
    <x:row r="27" ht="15" hidden="0" customHeight="1">
      <x:c r="A27" s="244" t="str">
        <x:v>YoY growth</x:v>
      </x:c>
      <x:c r="B27" s="245"/>
      <x:c r="C27" s="245" t="n">
        <x:f>C26/B26-1</x:f>
        <x:v>0.8021978021978022</x:v>
      </x:c>
      <x:c r="D27" s="245" t="n">
        <x:f>D26/C26-1</x:f>
        <x:v>0.4817073170731707</x:v>
      </x:c>
      <x:c r="E27" s="240"/>
      <x:c r="F27" s="240"/>
      <x:c r="G27" s="240"/>
      <x:c r="H27" s="240"/>
      <x:c r="I27" s="240"/>
      <x:c r="J27" s="240"/>
      <x:c r="K27" s="240"/>
    </x:row>
    <x:row r="28" ht="15" hidden="0" customHeight="1">
      <x:c r="A28" s="244" t="str">
        <x:v>Loaded delivery cost</x:v>
      </x:c>
      <x:c r="B28" s="246" t="n">
        <x:f>SUMPRODUCT('Assumptions'!$D$7:$D$12,'Assumptions'!$J$7:$J$12)</x:f>
        <x:v>69500</x:v>
      </x:c>
      <x:c r="C28" s="246" t="n">
        <x:f>SUMPRODUCT('Assumptions'!$D$7:$D$12,'Assumptions'!$K$7:$K$12)</x:f>
        <x:v>123000</x:v>
      </x:c>
      <x:c r="D28" s="246" t="n">
        <x:f>SUMPRODUCT('Assumptions'!$D$7:$D$12,'Assumptions'!$L$7:$L$12)</x:f>
        <x:v>180600</x:v>
      </x:c>
      <x:c r="E28" s="240"/>
      <x:c r="F28" s="240"/>
      <x:c r="G28" s="240"/>
      <x:c r="H28" s="240"/>
      <x:c r="I28" s="240"/>
      <x:c r="J28" s="240"/>
      <x:c r="K28" s="240"/>
    </x:row>
    <x:row r="29" ht="15" hidden="0" customHeight="1">
      <x:c r="A29" s="247" t="str">
        <x:v>Gross profit</x:v>
      </x:c>
      <x:c r="B29" s="248" t="n">
        <x:f>B26-B28</x:f>
        <x:v>112500</x:v>
      </x:c>
      <x:c r="C29" s="248" t="n">
        <x:f>C26-C28</x:f>
        <x:v>205000</x:v>
      </x:c>
      <x:c r="D29" s="248" t="n">
        <x:f>D26-D28</x:f>
        <x:v>305400</x:v>
      </x:c>
      <x:c r="E29" s="240"/>
      <x:c r="F29" s="240"/>
      <x:c r="G29" s="240"/>
      <x:c r="H29" s="240"/>
      <x:c r="I29" s="240"/>
      <x:c r="J29" s="240"/>
      <x:c r="K29" s="240"/>
    </x:row>
    <x:row r="30" ht="15" hidden="0" customHeight="1">
      <x:c r="A30" s="247" t="str">
        <x:v>Gross margin</x:v>
      </x:c>
      <x:c r="B30" s="249" t="n">
        <x:f>B29/B26</x:f>
        <x:v>0.6181318681318682</x:v>
      </x:c>
      <x:c r="C30" s="249" t="n">
        <x:f>C29/C26</x:f>
        <x:v>0.625</x:v>
      </x:c>
      <x:c r="D30" s="249" t="n">
        <x:f>D29/D26</x:f>
        <x:v>0.6283950617283951</x:v>
      </x:c>
      <x:c r="E30" s="240"/>
      <x:c r="F30" s="240"/>
      <x:c r="G30" s="240"/>
      <x:c r="H30" s="240"/>
      <x:c r="I30" s="240"/>
      <x:c r="J30" s="240"/>
      <x:c r="K30" s="240"/>
    </x:row>
    <x:row r="31" ht="15" hidden="0" customHeight="1">
      <x:c r="A31" s="244" t="str">
        <x:v>Fixed operating expense</x:v>
      </x:c>
      <x:c r="B31" s="246" t="n">
        <x:f>'Assumptions'!I$17</x:f>
        <x:v>55000</x:v>
      </x:c>
      <x:c r="C31" s="246" t="n">
        <x:f>'Assumptions'!J$17</x:f>
        <x:v>85000</x:v>
      </x:c>
      <x:c r="D31" s="246" t="n">
        <x:f>'Assumptions'!K$17</x:f>
        <x:v>120000</x:v>
      </x:c>
      <x:c r="E31" s="240"/>
      <x:c r="F31" s="240"/>
      <x:c r="G31" s="240"/>
      <x:c r="H31" s="240"/>
      <x:c r="I31" s="240"/>
      <x:c r="J31" s="240"/>
      <x:c r="K31" s="240"/>
    </x:row>
    <x:row r="32" ht="15" hidden="0" customHeight="1">
      <x:c r="A32" s="250" t="str">
        <x:v>Operating contribution</x:v>
      </x:c>
      <x:c r="B32" s="251" t="n">
        <x:f>B29-B31</x:f>
        <x:v>57500</x:v>
      </x:c>
      <x:c r="C32" s="251" t="n">
        <x:f>C29-C31</x:f>
        <x:v>120000</x:v>
      </x:c>
      <x:c r="D32" s="251" t="n">
        <x:f>D29-D31</x:f>
        <x:v>185400</x:v>
      </x:c>
      <x:c r="E32" s="240"/>
      <x:c r="F32" s="240"/>
      <x:c r="G32" s="240"/>
      <x:c r="H32" s="240"/>
      <x:c r="I32" s="240"/>
      <x:c r="J32" s="240"/>
      <x:c r="K32" s="240"/>
    </x:row>
    <x:row r="33" ht="15" hidden="0" customHeight="1">
      <x:c r="A33" s="250" t="str">
        <x:v>Contribution margin</x:v>
      </x:c>
      <x:c r="B33" s="252" t="n">
        <x:f>B32/B26</x:f>
        <x:v>0.3159340659340659</x:v>
      </x:c>
      <x:c r="C33" s="252" t="n">
        <x:f>C32/C26</x:f>
        <x:v>0.36585365853658536</x:v>
      </x:c>
      <x:c r="D33" s="252" t="n">
        <x:f>D32/D26</x:f>
        <x:v>0.3814814814814815</x:v>
      </x:c>
      <x:c r="E33" s="240"/>
      <x:c r="F33" s="240"/>
      <x:c r="G33" s="240"/>
      <x:c r="H33" s="240"/>
      <x:c r="I33" s="240"/>
      <x:c r="J33" s="240"/>
      <x:c r="K33" s="240"/>
    </x:row>
    <x:row r="34" ht="15" hidden="0" customHeight="1">
      <x:c r="A34" s="244" t="str">
        <x:v>Delivery hours</x:v>
      </x:c>
      <x:c r="B34" s="253" t="n">
        <x:f>SUMPRODUCT('Assumptions'!$E$7:$E$12,'Assumptions'!$J$7:$J$12)</x:f>
        <x:v>862</x:v>
      </x:c>
      <x:c r="C34" s="253" t="n">
        <x:f>SUMPRODUCT('Assumptions'!$E$7:$E$12,'Assumptions'!$K$7:$K$12)</x:f>
        <x:v>1522</x:v>
      </x:c>
      <x:c r="D34" s="253" t="n">
        <x:f>SUMPRODUCT('Assumptions'!$E$7:$E$12,'Assumptions'!$L$7:$L$12)</x:f>
        <x:v>2226</x:v>
      </x:c>
      <x:c r="E34" s="240"/>
      <x:c r="F34" s="240"/>
      <x:c r="G34" s="240"/>
      <x:c r="H34" s="240"/>
      <x:c r="I34" s="240"/>
      <x:c r="J34" s="240"/>
      <x:c r="K34" s="240"/>
    </x:row>
    <x:row r="35" ht="15" hidden="0" customHeight="1">
      <x:c r="A35" s="254" t="str">
        <x:v>Delivery FTE required</x:v>
      </x:c>
      <x:c r="B35" s="255" t="n">
        <x:f>B34/'Assumptions'!$C$16</x:f>
        <x:v>0.7367521367521368</x:v>
      </x:c>
      <x:c r="C35" s="255" t="n">
        <x:f>C34/'Assumptions'!$C$16</x:f>
        <x:v>1.300854700854701</x:v>
      </x:c>
      <x:c r="D35" s="255" t="n">
        <x:f>D34/'Assumptions'!$C$16</x:f>
        <x:v>1.9025641025641025</x:v>
      </x:c>
      <x:c r="E35" s="240"/>
      <x:c r="F35" s="240"/>
      <x:c r="G35" s="240"/>
      <x:c r="H35" s="240"/>
      <x:c r="I35" s="240"/>
      <x:c r="J35" s="240"/>
      <x:c r="K35" s="240"/>
    </x:row>
    <x:row r="36" ht="15" hidden="0" customHeight="1">
      <x:c r="A36" s="244" t="str">
        <x:v>Unique customer wins</x:v>
      </x:c>
      <x:c r="B36" s="253" t="n">
        <x:f>'Assumptions'!$J$7+SUM('Assumptions'!$J$8:$J$11)-MIN('Assumptions'!$J$7*'Assumptions'!$C$19,SUM('Assumptions'!$J$8:$J$11))</x:f>
        <x:v>19</x:v>
      </x:c>
      <x:c r="C36" s="253" t="n">
        <x:f>'Assumptions'!$K$7+SUM('Assumptions'!$K$8:$K$11)-MIN('Assumptions'!$K$7*'Assumptions'!$C$19,SUM('Assumptions'!$K$8:$K$11))</x:f>
        <x:v>31</x:v>
      </x:c>
      <x:c r="D36" s="253" t="n">
        <x:f>'Assumptions'!$L$7+SUM('Assumptions'!$L$8:$L$11)-MIN('Assumptions'!$L$7*'Assumptions'!$C$19,SUM('Assumptions'!$L$8:$L$11))</x:f>
        <x:v>43</x:v>
      </x:c>
      <x:c r="E36" s="240"/>
      <x:c r="F36" s="240"/>
      <x:c r="G36" s="240"/>
      <x:c r="H36" s="240"/>
      <x:c r="I36" s="240"/>
      <x:c r="J36" s="240"/>
      <x:c r="K36" s="240"/>
    </x:row>
    <x:row r="37" ht="15" hidden="0" customHeight="1">
      <x:c r="A37" s="244" t="str">
        <x:v>Qualified opportunities required</x:v>
      </x:c>
      <x:c r="B37" s="253" t="n">
        <x:f>B36/'Assumptions'!$C$17</x:f>
        <x:v>76</x:v>
      </x:c>
      <x:c r="C37" s="253" t="n">
        <x:f>C36/'Assumptions'!$C$17</x:f>
        <x:v>124</x:v>
      </x:c>
      <x:c r="D37" s="253" t="n">
        <x:f>D36/'Assumptions'!$C$17</x:f>
        <x:v>172</x:v>
      </x:c>
      <x:c r="E37" s="240"/>
      <x:c r="F37" s="240"/>
      <x:c r="G37" s="240"/>
      <x:c r="H37" s="240"/>
      <x:c r="I37" s="240"/>
      <x:c r="J37" s="240"/>
      <x:c r="K37" s="240"/>
    </x:row>
    <x:row r="38" ht="15" hidden="0" customHeight="1">
      <x:c r="A38" s="244" t="str">
        <x:v>Relevant visits required (web-equivalent)</x:v>
      </x:c>
      <x:c r="B38" s="253" t="n">
        <x:f>B37/'Assumptions'!$C$18</x:f>
        <x:v>3040</x:v>
      </x:c>
      <x:c r="C38" s="253" t="n">
        <x:f>C37/'Assumptions'!$C$18</x:f>
        <x:v>4960</x:v>
      </x:c>
      <x:c r="D38" s="253" t="n">
        <x:f>D37/'Assumptions'!$C$18</x:f>
        <x:v>6880</x:v>
      </x:c>
      <x:c r="E38" s="240"/>
      <x:c r="F38" s="240"/>
      <x:c r="G38" s="240"/>
      <x:c r="H38" s="240"/>
      <x:c r="I38" s="240"/>
      <x:c r="J38" s="240"/>
      <x:c r="K38" s="240"/>
    </x:row>
    <x:row r="39" ht="15" hidden="0" customHeight="1">
      <x:c r="A39" s="256" t="str">
        <x:v>Revenue per delivery hour</x:v>
      </x:c>
      <x:c r="B39" s="257" t="n">
        <x:f>B26/B34</x:f>
        <x:v>211.13689095127611</x:v>
      </x:c>
      <x:c r="C39" s="257" t="n">
        <x:f>C26/C34</x:f>
        <x:v>215.5059132720105</x:v>
      </x:c>
      <x:c r="D39" s="257" t="n">
        <x:f>D26/D34</x:f>
        <x:v>218.3288409703504</x:v>
      </x:c>
      <x:c r="E39" s="240"/>
      <x:c r="F39" s="240"/>
      <x:c r="G39" s="240"/>
      <x:c r="H39" s="240"/>
      <x:c r="I39" s="240"/>
      <x:c r="J39" s="240"/>
      <x:c r="K39" s="240"/>
    </x:row>
    <x:row r="40">
      <x:c r="A40" s="240"/>
      <x:c r="B40" s="240"/>
      <x:c r="C40" s="240"/>
      <x:c r="D40" s="240"/>
      <x:c r="E40" s="240"/>
      <x:c r="F40" s="240"/>
      <x:c r="G40" s="240"/>
      <x:c r="H40" s="240"/>
      <x:c r="I40" s="240"/>
      <x:c r="J40" s="240"/>
      <x:c r="K40" s="240"/>
    </x:row>
    <x:row r="41">
      <x:c r="A41" s="240"/>
      <x:c r="B41" s="240"/>
      <x:c r="C41" s="240"/>
      <x:c r="D41" s="240"/>
      <x:c r="E41" s="240"/>
      <x:c r="F41" s="240"/>
      <x:c r="G41" s="240"/>
      <x:c r="H41" s="240"/>
      <x:c r="I41" s="240"/>
      <x:c r="J41" s="240"/>
      <x:c r="K41" s="240"/>
    </x:row>
    <x:row r="42" ht="15" hidden="0" customHeight="1">
      <x:c r="A42" s="11" t="str">
        <x:v>Upside scenario</x:v>
      </x:c>
      <x:c r="B42" s="11" t="str">
        <x:v>Upside scenario</x:v>
      </x:c>
      <x:c r="C42" s="11" t="str">
        <x:v>Upside scenario</x:v>
      </x:c>
      <x:c r="D42" s="11" t="str">
        <x:v>Upside scenario</x:v>
      </x:c>
      <x:c r="E42" s="240"/>
      <x:c r="F42" s="240"/>
      <x:c r="G42" s="240"/>
      <x:c r="H42" s="240"/>
      <x:c r="I42" s="240"/>
      <x:c r="J42" s="240"/>
      <x:c r="K42" s="240"/>
    </x:row>
    <x:row r="43" ht="15" hidden="0" customHeight="1">
      <x:c r="A43" s="20" t="str">
        <x:v>Metric</x:v>
      </x:c>
      <x:c r="B43" s="21" t="str">
        <x:v>Year 1</x:v>
      </x:c>
      <x:c r="C43" s="21" t="str">
        <x:v>Year 2</x:v>
      </x:c>
      <x:c r="D43" s="22" t="str">
        <x:v>Year 3</x:v>
      </x:c>
      <x:c r="E43" s="240"/>
      <x:c r="F43" s="240"/>
      <x:c r="G43" s="240"/>
      <x:c r="H43" s="240"/>
      <x:c r="I43" s="240"/>
      <x:c r="J43" s="240"/>
      <x:c r="K43" s="240"/>
    </x:row>
    <x:row r="44" ht="15" hidden="0" customHeight="1">
      <x:c r="A44" s="241" t="str">
        <x:v>Revenue</x:v>
      </x:c>
      <x:c r="B44" s="242" t="n">
        <x:f>SUMPRODUCT('Assumptions'!$C$7:$C$12,'Assumptions'!$M$7:$M$12)</x:f>
        <x:v>253750</x:v>
      </x:c>
      <x:c r="C44" s="242" t="n">
        <x:f>SUMPRODUCT('Assumptions'!$C$7:$C$12,'Assumptions'!$N$7:$N$12)</x:f>
        <x:v>503000</x:v>
      </x:c>
      <x:c r="D44" s="242" t="n">
        <x:f>SUMPRODUCT('Assumptions'!$C$7:$C$12,'Assumptions'!$O$7:$O$12)</x:f>
        <x:v>775500</x:v>
      </x:c>
      <x:c r="E44" s="240"/>
      <x:c r="F44" s="240"/>
      <x:c r="G44" s="240"/>
      <x:c r="H44" s="240"/>
      <x:c r="I44" s="240"/>
      <x:c r="J44" s="240"/>
      <x:c r="K44" s="240"/>
    </x:row>
    <x:row r="45" ht="15" hidden="0" customHeight="1">
      <x:c r="A45" s="244" t="str">
        <x:v>YoY growth</x:v>
      </x:c>
      <x:c r="B45" s="245"/>
      <x:c r="C45" s="245" t="n">
        <x:f>C44/B44-1</x:f>
        <x:v>0.9822660098522167</x:v>
      </x:c>
      <x:c r="D45" s="245" t="n">
        <x:f>D44/C44-1</x:f>
        <x:v>0.5417495029821073</x:v>
      </x:c>
      <x:c r="E45" s="240"/>
      <x:c r="F45" s="240"/>
      <x:c r="G45" s="240"/>
      <x:c r="H45" s="240"/>
      <x:c r="I45" s="240"/>
      <x:c r="J45" s="240"/>
      <x:c r="K45" s="240"/>
    </x:row>
    <x:row r="46" ht="15" hidden="0" customHeight="1">
      <x:c r="A46" s="244" t="str">
        <x:v>Loaded delivery cost</x:v>
      </x:c>
      <x:c r="B46" s="246" t="n">
        <x:f>SUMPRODUCT('Assumptions'!$D$7:$D$12,'Assumptions'!$M$7:$M$12)</x:f>
        <x:v>97100</x:v>
      </x:c>
      <x:c r="C46" s="246" t="n">
        <x:f>SUMPRODUCT('Assumptions'!$D$7:$D$12,'Assumptions'!$N$7:$N$12)</x:f>
        <x:v>189200</x:v>
      </x:c>
      <x:c r="D46" s="246" t="n">
        <x:f>SUMPRODUCT('Assumptions'!$D$7:$D$12,'Assumptions'!$O$7:$O$12)</x:f>
        <x:v>287000</x:v>
      </x:c>
      <x:c r="E46" s="240"/>
      <x:c r="F46" s="240"/>
      <x:c r="G46" s="240"/>
      <x:c r="H46" s="240"/>
      <x:c r="I46" s="240"/>
      <x:c r="J46" s="240"/>
      <x:c r="K46" s="240"/>
    </x:row>
    <x:row r="47" ht="15" hidden="0" customHeight="1">
      <x:c r="A47" s="247" t="str">
        <x:v>Gross profit</x:v>
      </x:c>
      <x:c r="B47" s="248" t="n">
        <x:f>B44-B46</x:f>
        <x:v>156650</x:v>
      </x:c>
      <x:c r="C47" s="248" t="n">
        <x:f>C44-C46</x:f>
        <x:v>313800</x:v>
      </x:c>
      <x:c r="D47" s="248" t="n">
        <x:f>D44-D46</x:f>
        <x:v>488500</x:v>
      </x:c>
      <x:c r="E47" s="240"/>
      <x:c r="F47" s="240"/>
      <x:c r="G47" s="240"/>
      <x:c r="H47" s="240"/>
      <x:c r="I47" s="240"/>
      <x:c r="J47" s="240"/>
      <x:c r="K47" s="240"/>
    </x:row>
    <x:row r="48" ht="15" hidden="0" customHeight="1">
      <x:c r="A48" s="247" t="str">
        <x:v>Gross margin</x:v>
      </x:c>
      <x:c r="B48" s="249" t="n">
        <x:f>B47/B44</x:f>
        <x:v>0.6173399014778325</x:v>
      </x:c>
      <x:c r="C48" s="249" t="n">
        <x:f>C47/C44</x:f>
        <x:v>0.6238568588469184</x:v>
      </x:c>
      <x:c r="D48" s="249" t="n">
        <x:f>D47/D44</x:f>
        <x:v>0.6299161831076725</x:v>
      </x:c>
      <x:c r="E48" s="240"/>
      <x:c r="F48" s="240"/>
      <x:c r="G48" s="240"/>
      <x:c r="H48" s="240"/>
      <x:c r="I48" s="240"/>
      <x:c r="J48" s="240"/>
      <x:c r="K48" s="240"/>
    </x:row>
    <x:row r="49" ht="15" hidden="0" customHeight="1">
      <x:c r="A49" s="244" t="str">
        <x:v>Fixed operating expense</x:v>
      </x:c>
      <x:c r="B49" s="246" t="n">
        <x:f>'Assumptions'!I$18</x:f>
        <x:v>70000</x:v>
      </x:c>
      <x:c r="C49" s="246" t="n">
        <x:f>'Assumptions'!J$18</x:f>
        <x:v>120000</x:v>
      </x:c>
      <x:c r="D49" s="246" t="n">
        <x:f>'Assumptions'!K$18</x:f>
        <x:v>180000</x:v>
      </x:c>
      <x:c r="E49" s="240"/>
      <x:c r="F49" s="240"/>
      <x:c r="G49" s="240"/>
      <x:c r="H49" s="240"/>
      <x:c r="I49" s="240"/>
      <x:c r="J49" s="240"/>
      <x:c r="K49" s="240"/>
    </x:row>
    <x:row r="50" ht="15" hidden="0" customHeight="1">
      <x:c r="A50" s="250" t="str">
        <x:v>Operating contribution</x:v>
      </x:c>
      <x:c r="B50" s="251" t="n">
        <x:f>B47-B49</x:f>
        <x:v>86650</x:v>
      </x:c>
      <x:c r="C50" s="251" t="n">
        <x:f>C47-C49</x:f>
        <x:v>193800</x:v>
      </x:c>
      <x:c r="D50" s="251" t="n">
        <x:f>D47-D49</x:f>
        <x:v>308500</x:v>
      </x:c>
      <x:c r="E50" s="240"/>
      <x:c r="F50" s="240"/>
      <x:c r="G50" s="240"/>
      <x:c r="H50" s="240"/>
      <x:c r="I50" s="240"/>
      <x:c r="J50" s="240"/>
      <x:c r="K50" s="240"/>
    </x:row>
    <x:row r="51" ht="15" hidden="0" customHeight="1">
      <x:c r="A51" s="250" t="str">
        <x:v>Contribution margin</x:v>
      </x:c>
      <x:c r="B51" s="252" t="n">
        <x:f>B50/B44</x:f>
        <x:v>0.3414778325123153</x:v>
      </x:c>
      <x:c r="C51" s="252" t="n">
        <x:f>C50/C44</x:f>
        <x:v>0.3852882703777336</x:v>
      </x:c>
      <x:c r="D51" s="252" t="n">
        <x:f>D50/D44</x:f>
        <x:v>0.3978078658929723</x:v>
      </x:c>
      <x:c r="E51" s="240"/>
      <x:c r="F51" s="240"/>
      <x:c r="G51" s="240"/>
      <x:c r="H51" s="240"/>
      <x:c r="I51" s="240"/>
      <x:c r="J51" s="240"/>
      <x:c r="K51" s="240"/>
    </x:row>
    <x:row r="52" ht="15" hidden="0" customHeight="1">
      <x:c r="A52" s="244" t="str">
        <x:v>Delivery hours</x:v>
      </x:c>
      <x:c r="B52" s="253" t="n">
        <x:f>SUMPRODUCT('Assumptions'!$E$7:$E$12,'Assumptions'!$M$7:$M$12)</x:f>
        <x:v>1206</x:v>
      </x:c>
      <x:c r="C52" s="253" t="n">
        <x:f>SUMPRODUCT('Assumptions'!$E$7:$E$12,'Assumptions'!$N$7:$N$12)</x:f>
        <x:v>2338</x:v>
      </x:c>
      <x:c r="D52" s="253" t="n">
        <x:f>SUMPRODUCT('Assumptions'!$E$7:$E$12,'Assumptions'!$O$7:$O$12)</x:f>
        <x:v>3536</x:v>
      </x:c>
      <x:c r="E52" s="240"/>
      <x:c r="F52" s="240"/>
      <x:c r="G52" s="240"/>
      <x:c r="H52" s="240"/>
      <x:c r="I52" s="240"/>
      <x:c r="J52" s="240"/>
      <x:c r="K52" s="240"/>
    </x:row>
    <x:row r="53" ht="15" hidden="0" customHeight="1">
      <x:c r="A53" s="254" t="str">
        <x:v>Delivery FTE required</x:v>
      </x:c>
      <x:c r="B53" s="255" t="n">
        <x:f>B52/'Assumptions'!$D$16</x:f>
        <x:v>1.0307692307692307</x:v>
      </x:c>
      <x:c r="C53" s="255" t="n">
        <x:f>C52/'Assumptions'!$D$16</x:f>
        <x:v>1.9982905982905983</x:v>
      </x:c>
      <x:c r="D53" s="255" t="n">
        <x:f>D52/'Assumptions'!$D$16</x:f>
        <x:v>3.022222222222222</x:v>
      </x:c>
      <x:c r="E53" s="240"/>
      <x:c r="F53" s="240"/>
      <x:c r="G53" s="240"/>
      <x:c r="H53" s="240"/>
      <x:c r="I53" s="240"/>
      <x:c r="J53" s="240"/>
      <x:c r="K53" s="240"/>
    </x:row>
    <x:row r="54" ht="15" hidden="0" customHeight="1">
      <x:c r="A54" s="244" t="str">
        <x:v>Unique customer wins</x:v>
      </x:c>
      <x:c r="B54" s="253" t="n">
        <x:f>'Assumptions'!$M$7+SUM('Assumptions'!$M$8:$M$11)-MIN('Assumptions'!$M$7*'Assumptions'!$D$19,SUM('Assumptions'!$M$8:$M$11))</x:f>
        <x:v>24</x:v>
      </x:c>
      <x:c r="C54" s="253" t="n">
        <x:f>'Assumptions'!$N$7+SUM('Assumptions'!$N$8:$N$11)-MIN('Assumptions'!$N$7*'Assumptions'!$D$19,SUM('Assumptions'!$N$8:$N$11))</x:f>
        <x:v>42.6</x:v>
      </x:c>
      <x:c r="D54" s="253" t="n">
        <x:f>'Assumptions'!$O$7+SUM('Assumptions'!$O$8:$O$11)-MIN('Assumptions'!$O$7*'Assumptions'!$D$19,SUM('Assumptions'!$O$8:$O$11))</x:f>
        <x:v>60</x:v>
      </x:c>
      <x:c r="E54" s="240"/>
      <x:c r="F54" s="240"/>
      <x:c r="G54" s="240"/>
      <x:c r="H54" s="240"/>
      <x:c r="I54" s="240"/>
      <x:c r="J54" s="240"/>
      <x:c r="K54" s="240"/>
    </x:row>
    <x:row r="55" ht="15" hidden="0" customHeight="1">
      <x:c r="A55" s="244" t="str">
        <x:v>Qualified opportunities required</x:v>
      </x:c>
      <x:c r="B55" s="253" t="n">
        <x:f>B54/'Assumptions'!$D$17</x:f>
        <x:v>75</x:v>
      </x:c>
      <x:c r="C55" s="253" t="n">
        <x:f>C54/'Assumptions'!$D$17</x:f>
        <x:v>133.125</x:v>
      </x:c>
      <x:c r="D55" s="253" t="n">
        <x:f>D54/'Assumptions'!$D$17</x:f>
        <x:v>187.5</x:v>
      </x:c>
      <x:c r="E55" s="240"/>
      <x:c r="F55" s="240"/>
      <x:c r="G55" s="240"/>
      <x:c r="H55" s="240"/>
      <x:c r="I55" s="240"/>
      <x:c r="J55" s="240"/>
      <x:c r="K55" s="240"/>
    </x:row>
    <x:row r="56" ht="15" hidden="0" customHeight="1">
      <x:c r="A56" s="244" t="str">
        <x:v>Relevant visits required (web-equivalent)</x:v>
      </x:c>
      <x:c r="B56" s="253" t="n">
        <x:f>B55/'Assumptions'!$D$18</x:f>
        <x:v>2142.8571428571427</x:v>
      </x:c>
      <x:c r="C56" s="253" t="n">
        <x:f>C55/'Assumptions'!$D$18</x:f>
        <x:v>3803.571428571428</x:v>
      </x:c>
      <x:c r="D56" s="253" t="n">
        <x:f>D55/'Assumptions'!$D$18</x:f>
        <x:v>5357.142857142857</x:v>
      </x:c>
      <x:c r="E56" s="240"/>
      <x:c r="F56" s="240"/>
      <x:c r="G56" s="240"/>
      <x:c r="H56" s="240"/>
      <x:c r="I56" s="240"/>
      <x:c r="J56" s="240"/>
      <x:c r="K56" s="240"/>
    </x:row>
    <x:row r="57" ht="15" hidden="0" customHeight="1">
      <x:c r="A57" s="256" t="str">
        <x:v>Revenue per delivery hour</x:v>
      </x:c>
      <x:c r="B57" s="257" t="n">
        <x:f>B44/B52</x:f>
        <x:v>210.40630182421228</x:v>
      </x:c>
      <x:c r="C57" s="257" t="n">
        <x:f>C44/C52</x:f>
        <x:v>215.14114627887082</x:v>
      </x:c>
      <x:c r="D57" s="257" t="n">
        <x:f>D44/D52</x:f>
        <x:v>219.3156108597285</x:v>
      </x:c>
      <x:c r="E57" s="240"/>
      <x:c r="F57" s="240"/>
      <x:c r="G57" s="240"/>
      <x:c r="H57" s="240"/>
      <x:c r="I57" s="240"/>
      <x:c r="J57" s="240"/>
      <x:c r="K57" s="240"/>
    </x:row>
  </x:sheetData>
  <x:mergeCells>
    <x:mergeCell ref="A1:K1"/>
    <x:mergeCell ref="A2:K3"/>
    <x:mergeCell ref="A6:D6"/>
    <x:mergeCell ref="A24:D24"/>
    <x:mergeCell ref="A42:D42"/>
    <x:mergeCell ref="F6:K6"/>
  </x:mergeCells>
  <x:pageMargins left="0.7" right="0.7" top="0.75" bottom="0.75" header="0.3" footer="0.3"/>
  <x:drawing xmlns:r="http://schemas.openxmlformats.org/officeDocument/2006/relationships" r:id="Rb100f2fc28e8475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58.130001068115234" hidden="0" customWidth="1"/>
  </x:cols>
  <x:sheetData>
    <x:row r="1" ht="21.600000381469727" hidden="0" customHeight="1">
      <x:c r="A1" s="4" t="str">
        <x:v>Base Case — Quarterly Ramp and Hiring Gates</x:v>
      </x:c>
      <x:c r="B1" s="4" t="str">
        <x:v>Base Case — Quarterly Ramp and Hiring Gates</x:v>
      </x:c>
      <x:c r="C1" s="4" t="str">
        <x:v>Base Case — Quarterly Ramp and Hiring Gates</x:v>
      </x:c>
      <x:c r="D1" s="4" t="str">
        <x:v>Base Case — Quarterly Ramp and Hiring Gates</x:v>
      </x:c>
      <x:c r="E1" s="4" t="str">
        <x:v>Base Case — Quarterly Ramp and Hiring Gates</x:v>
      </x:c>
      <x:c r="F1" s="4" t="str">
        <x:v>Base Case — Quarterly Ramp and Hiring Gates</x:v>
      </x:c>
      <x:c r="G1" s="4" t="str">
        <x:v>Base Case — Quarterly Ramp and Hiring Gates</x:v>
      </x:c>
      <x:c r="H1" s="4" t="str">
        <x:v>Base Case — Quarterly Ramp and Hiring Gates</x:v>
      </x:c>
      <x:c r="I1" s="4" t="str">
        <x:v>Base Case — Quarterly Ramp and Hiring Gates</x:v>
      </x:c>
      <x:c r="J1" s="4" t="str">
        <x:v>Base Case — Quarterly Ramp and Hiring Gates</x:v>
      </x:c>
      <x:c r="K1" s="4" t="str">
        <x:v>Base Case — Quarterly Ramp and Hiring Gates</x:v>
      </x:c>
      <x:c r="L1" s="4" t="str">
        <x:v>Base Case — Quarterly Ramp and Hiring Gates</x:v>
      </x:c>
      <x:c r="M1" s="4" t="str">
        <x:v>Base Case — Quarterly Ramp and Hiring Gates</x:v>
      </x:c>
      <x:c r="N1" s="4" t="str">
        <x:v>Base Case — Quarterly Ramp and Hiring Gates</x:v>
      </x:c>
    </x:row>
    <x:row r="2">
      <x:c r="A2" s="239" t="str">
        <x:v>Quarterly values allocate the annual Base scenario using editable seasonality weights. Hiring should follow signed backlog and capacity—not the calendar alone.</x:v>
      </x:c>
      <x:c r="B2" s="239"/>
      <x:c r="C2" s="239"/>
      <x:c r="D2" s="239"/>
      <x:c r="E2" s="239"/>
      <x:c r="F2" s="239"/>
      <x:c r="G2" s="239"/>
      <x:c r="H2" s="239"/>
      <x:c r="I2" s="239"/>
      <x:c r="J2" s="239"/>
      <x:c r="K2" s="239"/>
      <x:c r="L2" s="239"/>
      <x:c r="M2" s="239"/>
      <x:c r="N2" s="239"/>
    </x:row>
    <x:row r="3">
      <x:c r="A3" s="239"/>
      <x:c r="B3" s="239"/>
      <x:c r="C3" s="239"/>
      <x:c r="D3" s="239"/>
      <x:c r="E3" s="239"/>
      <x:c r="F3" s="239"/>
      <x:c r="G3" s="239"/>
      <x:c r="H3" s="239"/>
      <x:c r="I3" s="239"/>
      <x:c r="J3" s="239"/>
      <x:c r="K3" s="239"/>
      <x:c r="L3" s="239"/>
      <x:c r="M3" s="239"/>
      <x:c r="N3" s="239"/>
    </x:row>
    <x:row r="4">
      <x:c r="A4" s="240"/>
      <x:c r="B4" s="240"/>
      <x:c r="C4" s="240"/>
      <x:c r="D4" s="240"/>
      <x:c r="E4" s="240"/>
      <x:c r="F4" s="240"/>
      <x:c r="G4" s="240"/>
      <x:c r="H4" s="240"/>
      <x:c r="I4" s="240"/>
      <x:c r="J4" s="240"/>
      <x:c r="K4" s="240"/>
      <x:c r="L4" s="240"/>
      <x:c r="M4" s="240"/>
      <x:c r="N4" s="240"/>
    </x:row>
    <x:row r="5" ht="15" hidden="0" customHeight="1">
      <x:c r="A5" s="20" t="str">
        <x:v>Metric</x:v>
      </x:c>
      <x:c r="B5" s="21" t="str">
        <x:v>Y1 Q1</x:v>
      </x:c>
      <x:c r="C5" s="21" t="str">
        <x:v>Y1 Q2</x:v>
      </x:c>
      <x:c r="D5" s="21" t="str">
        <x:v>Y1 Q3</x:v>
      </x:c>
      <x:c r="E5" s="21" t="str">
        <x:v>Y1 Q4</x:v>
      </x:c>
      <x:c r="F5" s="21" t="str">
        <x:v>Y2 Q1</x:v>
      </x:c>
      <x:c r="G5" s="21" t="str">
        <x:v>Y2 Q2</x:v>
      </x:c>
      <x:c r="H5" s="21" t="str">
        <x:v>Y2 Q3</x:v>
      </x:c>
      <x:c r="I5" s="21" t="str">
        <x:v>Y2 Q4</x:v>
      </x:c>
      <x:c r="J5" s="21" t="str">
        <x:v>Y3 Q1</x:v>
      </x:c>
      <x:c r="K5" s="21" t="str">
        <x:v>Y3 Q2</x:v>
      </x:c>
      <x:c r="L5" s="21" t="str">
        <x:v>Y3 Q3</x:v>
      </x:c>
      <x:c r="M5" s="22" t="str">
        <x:v>Y3 Q4</x:v>
      </x:c>
      <x:c r="N5" s="240"/>
    </x:row>
    <x:row r="6" ht="15" hidden="0" customHeight="1">
      <x:c r="A6" s="240" t="str">
        <x:v>Seasonality weight</x:v>
      </x:c>
      <x:c r="B6" s="258" t="n">
        <x:v>0.18</x:v>
      </x:c>
      <x:c r="C6" s="259" t="n">
        <x:v>0.22</x:v>
      </x:c>
      <x:c r="D6" s="259" t="n">
        <x:v>0.27</x:v>
      </x:c>
      <x:c r="E6" s="259" t="n">
        <x:v>0.33</x:v>
      </x:c>
      <x:c r="F6" s="259" t="n">
        <x:v>0.22</x:v>
      </x:c>
      <x:c r="G6" s="259" t="n">
        <x:v>0.24</x:v>
      </x:c>
      <x:c r="H6" s="259" t="n">
        <x:v>0.26</x:v>
      </x:c>
      <x:c r="I6" s="259" t="n">
        <x:v>0.28</x:v>
      </x:c>
      <x:c r="J6" s="259" t="n">
        <x:v>0.23</x:v>
      </x:c>
      <x:c r="K6" s="259" t="n">
        <x:v>0.24</x:v>
      </x:c>
      <x:c r="L6" s="259" t="n">
        <x:v>0.25</x:v>
      </x:c>
      <x:c r="M6" s="260" t="n">
        <x:v>0.28</x:v>
      </x:c>
      <x:c r="N6" s="240"/>
    </x:row>
    <x:row r="7" ht="15" hidden="0" customHeight="1">
      <x:c r="A7" s="240" t="str">
        <x:v>Revenue</x:v>
      </x:c>
      <x:c r="B7" s="261" t="n">
        <x:f>'Forecast'!B$26*B$6</x:f>
        <x:v>32760</x:v>
      </x:c>
      <x:c r="C7" s="261" t="n">
        <x:f>'Forecast'!B$26*C$6</x:f>
        <x:v>40040</x:v>
      </x:c>
      <x:c r="D7" s="261" t="n">
        <x:f>'Forecast'!B$26*D$6</x:f>
        <x:v>49140</x:v>
      </x:c>
      <x:c r="E7" s="261" t="n">
        <x:f>'Forecast'!B$26*E$6</x:f>
        <x:v>60060</x:v>
      </x:c>
      <x:c r="F7" s="261" t="n">
        <x:f>'Forecast'!C$26*F$6</x:f>
        <x:v>72160</x:v>
      </x:c>
      <x:c r="G7" s="261" t="n">
        <x:f>'Forecast'!C$26*G$6</x:f>
        <x:v>78720</x:v>
      </x:c>
      <x:c r="H7" s="261" t="n">
        <x:f>'Forecast'!C$26*H$6</x:f>
        <x:v>85280</x:v>
      </x:c>
      <x:c r="I7" s="261" t="n">
        <x:f>'Forecast'!C$26*I$6</x:f>
        <x:v>91840.00000000001</x:v>
      </x:c>
      <x:c r="J7" s="261" t="n">
        <x:f>'Forecast'!D$26*J$6</x:f>
        <x:v>111780</x:v>
      </x:c>
      <x:c r="K7" s="261" t="n">
        <x:f>'Forecast'!D$26*K$6</x:f>
        <x:v>116640</x:v>
      </x:c>
      <x:c r="L7" s="261" t="n">
        <x:f>'Forecast'!D$26*L$6</x:f>
        <x:v>121500</x:v>
      </x:c>
      <x:c r="M7" s="261" t="n">
        <x:f>'Forecast'!D$26*M$6</x:f>
        <x:v>136080</x:v>
      </x:c>
      <x:c r="N7" s="240"/>
    </x:row>
    <x:row r="8" ht="15" hidden="0" customHeight="1">
      <x:c r="A8" s="240" t="str">
        <x:v>Gross profit</x:v>
      </x:c>
      <x:c r="B8" s="261" t="n">
        <x:f>'Forecast'!B$29*B$6</x:f>
        <x:v>20250</x:v>
      </x:c>
      <x:c r="C8" s="261" t="n">
        <x:f>'Forecast'!B$29*C$6</x:f>
        <x:v>24750</x:v>
      </x:c>
      <x:c r="D8" s="261" t="n">
        <x:f>'Forecast'!B$29*D$6</x:f>
        <x:v>30375.000000000004</x:v>
      </x:c>
      <x:c r="E8" s="261" t="n">
        <x:f>'Forecast'!B$29*E$6</x:f>
        <x:v>37125</x:v>
      </x:c>
      <x:c r="F8" s="261" t="n">
        <x:f>'Forecast'!C$29*F$6</x:f>
        <x:v>45100</x:v>
      </x:c>
      <x:c r="G8" s="261" t="n">
        <x:f>'Forecast'!C$29*G$6</x:f>
        <x:v>49200</x:v>
      </x:c>
      <x:c r="H8" s="261" t="n">
        <x:f>'Forecast'!C$29*H$6</x:f>
        <x:v>53300</x:v>
      </x:c>
      <x:c r="I8" s="261" t="n">
        <x:f>'Forecast'!C$29*I$6</x:f>
        <x:v>57400.00000000001</x:v>
      </x:c>
      <x:c r="J8" s="261" t="n">
        <x:f>'Forecast'!D$29*J$6</x:f>
        <x:v>70242</x:v>
      </x:c>
      <x:c r="K8" s="261" t="n">
        <x:f>'Forecast'!D$29*K$6</x:f>
        <x:v>73296</x:v>
      </x:c>
      <x:c r="L8" s="261" t="n">
        <x:f>'Forecast'!D$29*L$6</x:f>
        <x:v>76350</x:v>
      </x:c>
      <x:c r="M8" s="261" t="n">
        <x:f>'Forecast'!D$29*M$6</x:f>
        <x:v>85512.00000000001</x:v>
      </x:c>
      <x:c r="N8" s="240"/>
    </x:row>
    <x:row r="9" ht="15" hidden="0" customHeight="1">
      <x:c r="A9" s="240" t="str">
        <x:v>Operating contribution</x:v>
      </x:c>
      <x:c r="B9" s="261" t="n">
        <x:f>'Forecast'!B$32*B$6</x:f>
        <x:v>10350</x:v>
      </x:c>
      <x:c r="C9" s="261" t="n">
        <x:f>'Forecast'!B$32*C$6</x:f>
        <x:v>12650</x:v>
      </x:c>
      <x:c r="D9" s="261" t="n">
        <x:f>'Forecast'!B$32*D$6</x:f>
        <x:v>15525.000000000002</x:v>
      </x:c>
      <x:c r="E9" s="261" t="n">
        <x:f>'Forecast'!B$32*E$6</x:f>
        <x:v>18975</x:v>
      </x:c>
      <x:c r="F9" s="261" t="n">
        <x:f>'Forecast'!C$32*F$6</x:f>
        <x:v>26400</x:v>
      </x:c>
      <x:c r="G9" s="261" t="n">
        <x:f>'Forecast'!C$32*G$6</x:f>
        <x:v>28800</x:v>
      </x:c>
      <x:c r="H9" s="261" t="n">
        <x:f>'Forecast'!C$32*H$6</x:f>
        <x:v>31200</x:v>
      </x:c>
      <x:c r="I9" s="261" t="n">
        <x:f>'Forecast'!C$32*I$6</x:f>
        <x:v>33600</x:v>
      </x:c>
      <x:c r="J9" s="261" t="n">
        <x:f>'Forecast'!D$32*J$6</x:f>
        <x:v>42642</x:v>
      </x:c>
      <x:c r="K9" s="261" t="n">
        <x:f>'Forecast'!D$32*K$6</x:f>
        <x:v>44496</x:v>
      </x:c>
      <x:c r="L9" s="261" t="n">
        <x:f>'Forecast'!D$32*L$6</x:f>
        <x:v>46350</x:v>
      </x:c>
      <x:c r="M9" s="261" t="n">
        <x:f>'Forecast'!D$32*M$6</x:f>
        <x:v>51912.00000000001</x:v>
      </x:c>
      <x:c r="N9" s="240"/>
    </x:row>
    <x:row r="10" ht="15" hidden="0" customHeight="1">
      <x:c r="A10" s="240" t="str">
        <x:v>Delivery hours</x:v>
      </x:c>
      <x:c r="B10" s="262" t="n">
        <x:f>'Forecast'!B$34*B$6</x:f>
        <x:v>155.16</x:v>
      </x:c>
      <x:c r="C10" s="262" t="n">
        <x:f>'Forecast'!B$34*C$6</x:f>
        <x:v>189.64000000000001</x:v>
      </x:c>
      <x:c r="D10" s="262" t="n">
        <x:f>'Forecast'!B$34*D$6</x:f>
        <x:v>232.74</x:v>
      </x:c>
      <x:c r="E10" s="262" t="n">
        <x:f>'Forecast'!B$34*E$6</x:f>
        <x:v>284.46000000000004</x:v>
      </x:c>
      <x:c r="F10" s="262" t="n">
        <x:f>'Forecast'!C$34*F$6</x:f>
        <x:v>334.84</x:v>
      </x:c>
      <x:c r="G10" s="262" t="n">
        <x:f>'Forecast'!C$34*G$6</x:f>
        <x:v>365.28</x:v>
      </x:c>
      <x:c r="H10" s="262" t="n">
        <x:f>'Forecast'!C$34*H$6</x:f>
        <x:v>395.72</x:v>
      </x:c>
      <x:c r="I10" s="262" t="n">
        <x:f>'Forecast'!C$34*I$6</x:f>
        <x:v>426.16</x:v>
      </x:c>
      <x:c r="J10" s="262" t="n">
        <x:f>'Forecast'!D$34*J$6</x:f>
        <x:v>511.98</x:v>
      </x:c>
      <x:c r="K10" s="262" t="n">
        <x:f>'Forecast'!D$34*K$6</x:f>
        <x:v>534.24</x:v>
      </x:c>
      <x:c r="L10" s="262" t="n">
        <x:f>'Forecast'!D$34*L$6</x:f>
        <x:v>556.5</x:v>
      </x:c>
      <x:c r="M10" s="262" t="n">
        <x:f>'Forecast'!D$34*M$6</x:f>
        <x:v>623.2800000000001</x:v>
      </x:c>
      <x:c r="N10" s="240"/>
    </x:row>
    <x:row r="11" ht="15" hidden="0" customHeight="1">
      <x:c r="A11" s="240" t="str">
        <x:v>Delivery FTE required</x:v>
      </x:c>
      <x:c r="B11" s="263" t="n">
        <x:f>B10/('Assumptions'!$C$16/4)</x:f>
        <x:v>0.5304615384615384</x:v>
      </x:c>
      <x:c r="C11" s="263" t="n">
        <x:f>C10/('Assumptions'!$C$16/4)</x:f>
        <x:v>0.6483418803418803</x:v>
      </x:c>
      <x:c r="D11" s="263" t="n">
        <x:f>D10/('Assumptions'!$C$16/4)</x:f>
        <x:v>0.7956923076923077</x:v>
      </x:c>
      <x:c r="E11" s="263" t="n">
        <x:f>E10/('Assumptions'!$C$16/4)</x:f>
        <x:v>0.9725128205128206</x:v>
      </x:c>
      <x:c r="F11" s="263" t="n">
        <x:f>F10/('Assumptions'!$C$16/4)</x:f>
        <x:v>1.1447521367521367</x:v>
      </x:c>
      <x:c r="G11" s="263" t="n">
        <x:f>G10/('Assumptions'!$C$16/4)</x:f>
        <x:v>1.2488205128205128</x:v>
      </x:c>
      <x:c r="H11" s="263" t="n">
        <x:f>H10/('Assumptions'!$C$16/4)</x:f>
        <x:v>1.352888888888889</x:v>
      </x:c>
      <x:c r="I11" s="263" t="n">
        <x:f>I10/('Assumptions'!$C$16/4)</x:f>
        <x:v>1.456957264957265</x:v>
      </x:c>
      <x:c r="J11" s="263" t="n">
        <x:f>J10/('Assumptions'!$C$16/4)</x:f>
        <x:v>1.7503589743589745</x:v>
      </x:c>
      <x:c r="K11" s="263" t="n">
        <x:f>K10/('Assumptions'!$C$16/4)</x:f>
        <x:v>1.8264615384615386</x:v>
      </x:c>
      <x:c r="L11" s="263" t="n">
        <x:f>L10/('Assumptions'!$C$16/4)</x:f>
        <x:v>1.9025641025641025</x:v>
      </x:c>
      <x:c r="M11" s="263" t="n">
        <x:f>M10/('Assumptions'!$C$16/4)</x:f>
        <x:v>2.130871794871795</x:v>
      </x:c>
      <x:c r="N11" s="240"/>
    </x:row>
    <x:row r="12" ht="15" hidden="0" customHeight="1">
      <x:c r="A12" s="240" t="str">
        <x:v>Capacity status</x:v>
      </x:c>
      <x:c r="B12" s="240" t="str">
        <x:f>IF(B11&gt;1.15,"Over capacity",IF(B11&gt;0.85,"Hire gate","Founder"))</x:f>
        <x:v>Founder</x:v>
      </x:c>
      <x:c r="C12" s="240" t="str">
        <x:f>IF(C11&gt;1.15,"Over capacity",IF(C11&gt;0.85,"Hire gate","Founder"))</x:f>
        <x:v>Founder</x:v>
      </x:c>
      <x:c r="D12" s="240" t="str">
        <x:f>IF(D11&gt;1.15,"Over capacity",IF(D11&gt;0.85,"Hire gate","Founder"))</x:f>
        <x:v>Founder</x:v>
      </x:c>
      <x:c r="E12" s="240" t="str">
        <x:f>IF(E11&gt;1.15,"Over capacity",IF(E11&gt;0.85,"Hire gate","Founder"))</x:f>
        <x:v>Hire gate</x:v>
      </x:c>
      <x:c r="F12" s="240" t="str">
        <x:f>IF(F11&gt;1.15,"Over capacity",IF(F11&gt;0.85,"Hire gate","Founder"))</x:f>
        <x:v>Hire gate</x:v>
      </x:c>
      <x:c r="G12" s="240" t="str">
        <x:f>IF(G11&gt;1.15,"Over capacity",IF(G11&gt;0.85,"Hire gate","Founder"))</x:f>
        <x:v>Over capacity</x:v>
      </x:c>
      <x:c r="H12" s="240" t="str">
        <x:f>IF(H11&gt;1.15,"Over capacity",IF(H11&gt;0.85,"Hire gate","Founder"))</x:f>
        <x:v>Over capacity</x:v>
      </x:c>
      <x:c r="I12" s="240" t="str">
        <x:f>IF(I11&gt;1.15,"Over capacity",IF(I11&gt;0.85,"Hire gate","Founder"))</x:f>
        <x:v>Over capacity</x:v>
      </x:c>
      <x:c r="J12" s="240" t="str">
        <x:f>IF(J11&gt;1.15,"Over capacity",IF(J11&gt;0.85,"Hire gate","Founder"))</x:f>
        <x:v>Over capacity</x:v>
      </x:c>
      <x:c r="K12" s="240" t="str">
        <x:f>IF(K11&gt;1.15,"Over capacity",IF(K11&gt;0.85,"Hire gate","Founder"))</x:f>
        <x:v>Over capacity</x:v>
      </x:c>
      <x:c r="L12" s="240" t="str">
        <x:f>IF(L11&gt;1.15,"Over capacity",IF(L11&gt;0.85,"Hire gate","Founder"))</x:f>
        <x:v>Over capacity</x:v>
      </x:c>
      <x:c r="M12" s="240" t="str">
        <x:f>IF(M11&gt;1.15,"Over capacity",IF(M11&gt;0.85,"Hire gate","Founder"))</x:f>
        <x:v>Over capacity</x:v>
      </x:c>
      <x:c r="N12" s="240"/>
    </x:row>
    <x:row r="13">
      <x:c r="A13" s="240"/>
      <x:c r="B13" s="240"/>
      <x:c r="C13" s="240"/>
      <x:c r="D13" s="240"/>
      <x:c r="E13" s="240"/>
      <x:c r="F13" s="240"/>
      <x:c r="G13" s="240"/>
      <x:c r="H13" s="240"/>
      <x:c r="I13" s="240"/>
      <x:c r="J13" s="240"/>
      <x:c r="K13" s="240"/>
      <x:c r="L13" s="240"/>
      <x:c r="M13" s="240"/>
      <x:c r="N13" s="240"/>
    </x:row>
    <x:row r="14">
      <x:c r="A14" s="240"/>
      <x:c r="B14" s="240"/>
      <x:c r="C14" s="240"/>
      <x:c r="D14" s="240"/>
      <x:c r="E14" s="240"/>
      <x:c r="F14" s="240"/>
      <x:c r="G14" s="240"/>
      <x:c r="H14" s="240"/>
      <x:c r="I14" s="240"/>
      <x:c r="J14" s="240"/>
      <x:c r="K14" s="240"/>
      <x:c r="L14" s="240"/>
      <x:c r="M14" s="240"/>
      <x:c r="N14" s="240"/>
    </x:row>
    <x:row r="15" ht="15" hidden="0" customHeight="1">
      <x:c r="A15" s="20" t="str">
        <x:v>Quarter</x:v>
      </x:c>
      <x:c r="B15" s="22" t="str">
        <x:v>Revenue</x:v>
      </x:c>
      <x:c r="C15" s="240"/>
      <x:c r="D15" s="240"/>
      <x:c r="E15" s="240"/>
      <x:c r="F15" s="240"/>
      <x:c r="G15" s="240"/>
      <x:c r="H15" s="240"/>
      <x:c r="I15" s="240"/>
      <x:c r="J15" s="240"/>
      <x:c r="K15" s="240"/>
      <x:c r="L15" s="240"/>
      <x:c r="M15" s="240"/>
      <x:c r="N15" s="240"/>
    </x:row>
    <x:row r="16" ht="15" hidden="0" customHeight="1">
      <x:c r="A16" s="240" t="str">
        <x:v>Y1 Q1</x:v>
      </x:c>
      <x:c r="B16" s="243" t="n">
        <x:f>B7</x:f>
        <x:v>32760</x:v>
      </x:c>
      <x:c r="C16" s="240"/>
      <x:c r="D16" s="240"/>
      <x:c r="E16" s="240"/>
      <x:c r="F16" s="240"/>
      <x:c r="G16" s="240"/>
      <x:c r="H16" s="240"/>
      <x:c r="I16" s="240"/>
      <x:c r="J16" s="240"/>
      <x:c r="K16" s="240"/>
      <x:c r="L16" s="240"/>
      <x:c r="M16" s="240"/>
      <x:c r="N16" s="240"/>
    </x:row>
    <x:row r="17" ht="15" hidden="0" customHeight="1">
      <x:c r="A17" s="240" t="str">
        <x:v>Y1 Q2</x:v>
      </x:c>
      <x:c r="B17" s="243" t="n">
        <x:f>C7</x:f>
        <x:v>40040</x:v>
      </x:c>
      <x:c r="C17" s="240"/>
      <x:c r="D17" s="240"/>
      <x:c r="E17" s="240"/>
      <x:c r="F17" s="240"/>
      <x:c r="G17" s="240"/>
      <x:c r="H17" s="240"/>
      <x:c r="I17" s="240"/>
      <x:c r="J17" s="240"/>
      <x:c r="K17" s="240"/>
      <x:c r="L17" s="240"/>
      <x:c r="M17" s="240"/>
      <x:c r="N17" s="240"/>
    </x:row>
    <x:row r="18" ht="15" hidden="0" customHeight="1">
      <x:c r="A18" s="240" t="str">
        <x:v>Y1 Q3</x:v>
      </x:c>
      <x:c r="B18" s="243" t="n">
        <x:f>D7</x:f>
        <x:v>49140</x:v>
      </x:c>
      <x:c r="C18" s="240"/>
      <x:c r="D18" s="240"/>
      <x:c r="E18" s="240"/>
      <x:c r="F18" s="240"/>
      <x:c r="G18" s="240"/>
      <x:c r="H18" s="240"/>
      <x:c r="I18" s="240"/>
      <x:c r="J18" s="240"/>
      <x:c r="K18" s="240"/>
      <x:c r="L18" s="240"/>
      <x:c r="M18" s="240"/>
      <x:c r="N18" s="240"/>
    </x:row>
    <x:row r="19" ht="15" hidden="0" customHeight="1">
      <x:c r="A19" s="240" t="str">
        <x:v>Y1 Q4</x:v>
      </x:c>
      <x:c r="B19" s="243" t="n">
        <x:f>E7</x:f>
        <x:v>60060</x:v>
      </x:c>
      <x:c r="C19" s="240"/>
      <x:c r="D19" s="240"/>
      <x:c r="E19" s="240"/>
      <x:c r="F19" s="240"/>
      <x:c r="G19" s="240"/>
      <x:c r="H19" s="240"/>
      <x:c r="I19" s="240"/>
      <x:c r="J19" s="240"/>
      <x:c r="K19" s="240"/>
      <x:c r="L19" s="240"/>
      <x:c r="M19" s="240"/>
      <x:c r="N19" s="240"/>
    </x:row>
    <x:row r="20" ht="15" hidden="0" customHeight="1">
      <x:c r="A20" s="240" t="str">
        <x:v>Y2 Q1</x:v>
      </x:c>
      <x:c r="B20" s="243" t="n">
        <x:f>F7</x:f>
        <x:v>72160</x:v>
      </x:c>
      <x:c r="C20" s="240"/>
      <x:c r="D20" s="240"/>
      <x:c r="E20" s="240"/>
      <x:c r="F20" s="240"/>
      <x:c r="G20" s="240"/>
      <x:c r="H20" s="240"/>
      <x:c r="I20" s="240"/>
      <x:c r="J20" s="240"/>
      <x:c r="K20" s="240"/>
      <x:c r="L20" s="240"/>
      <x:c r="M20" s="240"/>
      <x:c r="N20" s="240"/>
    </x:row>
    <x:row r="21" ht="15" hidden="0" customHeight="1">
      <x:c r="A21" s="240" t="str">
        <x:v>Y2 Q2</x:v>
      </x:c>
      <x:c r="B21" s="243" t="n">
        <x:f>G7</x:f>
        <x:v>78720</x:v>
      </x:c>
      <x:c r="C21" s="240"/>
      <x:c r="D21" s="240"/>
      <x:c r="E21" s="240"/>
      <x:c r="F21" s="240"/>
      <x:c r="G21" s="240"/>
      <x:c r="H21" s="240"/>
      <x:c r="I21" s="240"/>
      <x:c r="J21" s="240"/>
      <x:c r="K21" s="240"/>
      <x:c r="L21" s="240"/>
      <x:c r="M21" s="240"/>
      <x:c r="N21" s="240"/>
    </x:row>
    <x:row r="22" ht="15" hidden="0" customHeight="1">
      <x:c r="A22" s="240" t="str">
        <x:v>Y2 Q3</x:v>
      </x:c>
      <x:c r="B22" s="243" t="n">
        <x:f>H7</x:f>
        <x:v>85280</x:v>
      </x:c>
      <x:c r="C22" s="240"/>
      <x:c r="D22" s="240"/>
      <x:c r="E22" s="240"/>
      <x:c r="F22" s="240"/>
      <x:c r="G22" s="240"/>
      <x:c r="H22" s="240"/>
      <x:c r="I22" s="240"/>
      <x:c r="J22" s="240"/>
      <x:c r="K22" s="240"/>
      <x:c r="L22" s="240"/>
      <x:c r="M22" s="240"/>
      <x:c r="N22" s="240"/>
    </x:row>
    <x:row r="23" ht="15" hidden="0" customHeight="1">
      <x:c r="A23" s="240" t="str">
        <x:v>Y2 Q4</x:v>
      </x:c>
      <x:c r="B23" s="243" t="n">
        <x:f>I7</x:f>
        <x:v>91840.00000000001</x:v>
      </x:c>
      <x:c r="C23" s="240"/>
      <x:c r="D23" s="240"/>
      <x:c r="E23" s="240"/>
      <x:c r="F23" s="240"/>
      <x:c r="G23" s="240"/>
      <x:c r="H23" s="240"/>
      <x:c r="I23" s="240"/>
      <x:c r="J23" s="240"/>
      <x:c r="K23" s="240"/>
      <x:c r="L23" s="240"/>
      <x:c r="M23" s="240"/>
      <x:c r="N23" s="240"/>
    </x:row>
    <x:row r="24" ht="15" hidden="0" customHeight="1">
      <x:c r="A24" s="240" t="str">
        <x:v>Y3 Q1</x:v>
      </x:c>
      <x:c r="B24" s="243" t="n">
        <x:f>J7</x:f>
        <x:v>111780</x:v>
      </x:c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  <x:c r="N24" s="240"/>
    </x:row>
    <x:row r="25" ht="15" hidden="0" customHeight="1">
      <x:c r="A25" s="240" t="str">
        <x:v>Y3 Q2</x:v>
      </x:c>
      <x:c r="B25" s="243" t="n">
        <x:f>K7</x:f>
        <x:v>116640</x:v>
      </x:c>
      <x:c r="C25" s="240"/>
      <x:c r="D25" s="240"/>
      <x:c r="E25" s="240"/>
      <x:c r="F25" s="240"/>
      <x:c r="G25" s="240"/>
      <x:c r="H25" s="240"/>
      <x:c r="I25" s="240"/>
      <x:c r="J25" s="240"/>
      <x:c r="K25" s="240"/>
      <x:c r="L25" s="240"/>
      <x:c r="M25" s="240"/>
      <x:c r="N25" s="240"/>
    </x:row>
    <x:row r="26" ht="15" hidden="0" customHeight="1">
      <x:c r="A26" s="240" t="str">
        <x:v>Y3 Q3</x:v>
      </x:c>
      <x:c r="B26" s="243" t="n">
        <x:f>L7</x:f>
        <x:v>121500</x:v>
      </x:c>
      <x:c r="C26" s="240"/>
      <x:c r="D26" s="240"/>
      <x:c r="E26" s="240"/>
      <x:c r="F26" s="240"/>
      <x:c r="G26" s="240"/>
      <x:c r="H26" s="240"/>
      <x:c r="I26" s="240"/>
      <x:c r="J26" s="240"/>
      <x:c r="K26" s="240"/>
      <x:c r="L26" s="240"/>
      <x:c r="M26" s="240"/>
      <x:c r="N26" s="240"/>
    </x:row>
    <x:row r="27" ht="15" hidden="0" customHeight="1">
      <x:c r="A27" s="240" t="str">
        <x:v>Y3 Q4</x:v>
      </x:c>
      <x:c r="B27" s="243" t="n">
        <x:f>M7</x:f>
        <x:v>136080</x:v>
      </x:c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  <x:c r="N27" s="240"/>
    </x:row>
    <x:row r="28"/>
    <x:row r="29"/>
    <x:row r="30"/>
    <x:row r="31"/>
    <x:row r="32"/>
    <x:row r="33"/>
    <x:row r="34"/>
  </x:sheetData>
  <x:mergeCells>
    <x:mergeCell ref="A1:N1"/>
    <x:mergeCell ref="A2:N3"/>
  </x:mergeCells>
  <x:conditionalFormatting sqref="B12:M12">
    <x:cfRule type="containsText" dxfId="0" priority="1" operator="containsText" text="Over"/>
    <x:cfRule type="containsText" dxfId="1" priority="2" operator="containsText" text="Hire"/>
    <x:cfRule type="containsText" dxfId="2" priority="3" operator="containsText" text="Founder"/>
  </x:conditionalFormatting>
  <x:pageMargins left="0.7" right="0.7" top="0.75" bottom="0.75" header="0.3" footer="0.3"/>
  <x:drawing xmlns:r="http://schemas.openxmlformats.org/officeDocument/2006/relationships" r:id="R4793ae337122450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14" hidden="0" customWidth="1"/>
    <x:col min="4" max="4" width="14" hidden="0" customWidth="1"/>
    <x:col min="5" max="5" width="18" hidden="0" customWidth="1"/>
    <x:col min="6" max="6" width="16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</x:cols>
  <x:sheetData>
    <x:row r="1" ht="21.600000381469727" hidden="0" customHeight="1">
      <x:c r="A1" s="4" t="str">
        <x:v>Pricing Gap — Reference Pricing vs Sustainable Scope</x:v>
      </x:c>
      <x:c r="B1" s="4" t="str">
        <x:v>Pricing Gap — Reference Pricing vs Sustainable Scope</x:v>
      </x:c>
      <x:c r="C1" s="4" t="str">
        <x:v>Pricing Gap — Reference Pricing vs Sustainable Scope</x:v>
      </x:c>
      <x:c r="D1" s="4" t="str">
        <x:v>Pricing Gap — Reference Pricing vs Sustainable Scope</x:v>
      </x:c>
      <x:c r="E1" s="4" t="str">
        <x:v>Pricing Gap — Reference Pricing vs Sustainable Scope</x:v>
      </x:c>
      <x:c r="F1" s="4" t="str">
        <x:v>Pricing Gap — Reference Pricing vs Sustainable Scope</x:v>
      </x:c>
      <x:c r="G1" s="4" t="str">
        <x:v>Pricing Gap — Reference Pricing vs Sustainable Scope</x:v>
      </x:c>
      <x:c r="H1" s="4" t="str">
        <x:v>Pricing Gap — Reference Pricing vs Sustainable Scope</x:v>
      </x:c>
      <x:c r="I1" s="4" t="str">
        <x:v>Pricing Gap — Reference Pricing vs Sustainable Scope</x:v>
      </x:c>
      <x:c r="J1" s="4" t="str">
        <x:v>Pricing Gap — Reference Pricing vs Sustainable Scope</x:v>
      </x:c>
    </x:row>
    <x:row r="2">
      <x:c r="A2" s="239" t="str">
        <x:v>The margin test applies proposed full-scope delivery costs to public starting prices and internal Workflow Transformation scope references. It does not claim actual costs; it tests whether each reference price can fund the modeled scope.</x:v>
      </x:c>
      <x:c r="B2" s="239"/>
      <x:c r="C2" s="239"/>
      <x:c r="D2" s="239"/>
      <x:c r="E2" s="239"/>
      <x:c r="F2" s="239"/>
      <x:c r="G2" s="239"/>
      <x:c r="H2" s="239"/>
      <x:c r="I2" s="239"/>
      <x:c r="J2" s="239"/>
    </x:row>
    <x:row r="3">
      <x:c r="A3" s="239"/>
      <x:c r="B3" s="239"/>
      <x:c r="C3" s="239"/>
      <x:c r="D3" s="239"/>
      <x:c r="E3" s="239"/>
      <x:c r="F3" s="239"/>
      <x:c r="G3" s="239"/>
      <x:c r="H3" s="239"/>
      <x:c r="I3" s="239"/>
      <x:c r="J3" s="239"/>
    </x:row>
    <x:row r="4">
      <x:c r="A4" s="240"/>
      <x:c r="B4" s="240"/>
      <x:c r="C4" s="240"/>
      <x:c r="D4" s="240"/>
      <x:c r="E4" s="240"/>
      <x:c r="F4" s="240"/>
      <x:c r="G4" s="240"/>
      <x:c r="H4" s="240"/>
      <x:c r="I4" s="240"/>
      <x:c r="J4" s="240"/>
    </x:row>
    <x:row r="5" ht="30" hidden="0" customHeight="1">
      <x:c r="A5" s="20" t="str">
        <x:v>Product / scope</x:v>
      </x:c>
      <x:c r="B5" s="21" t="str">
        <x:v>Reference price</x:v>
      </x:c>
      <x:c r="C5" s="21" t="str">
        <x:v>Target ASP</x:v>
      </x:c>
      <x:c r="D5" s="21" t="str">
        <x:v>Loaded cost</x:v>
      </x:c>
      <x:c r="E5" s="21" t="str">
        <x:v>Reference gross margin</x:v>
      </x:c>
      <x:c r="F5" s="21" t="str">
        <x:v>Target gross margin</x:v>
      </x:c>
      <x:c r="G5" s="21" t="str">
        <x:v>Price uplift</x:v>
      </x:c>
      <x:c r="H5" s="21" t="str">
        <x:v>Delivery hours</x:v>
      </x:c>
      <x:c r="I5" s="21" t="str">
        <x:v>Reference rev/hour</x:v>
      </x:c>
      <x:c r="J5" s="22" t="str">
        <x:v>Target rev/hour</x:v>
      </x:c>
    </x:row>
    <x:row r="6" ht="15" hidden="0" customHeight="1">
      <x:c r="A6" s="264" t="str">
        <x:f>'Assumptions'!A7</x:f>
        <x:v>Heutrix Diagnostics</x:v>
      </x:c>
      <x:c r="B6" s="261" t="n">
        <x:f>'Assumptions'!B7</x:f>
        <x:v>950</x:v>
      </x:c>
      <x:c r="C6" s="261" t="n">
        <x:f>'Assumptions'!C7</x:f>
        <x:v>2250</x:v>
      </x:c>
      <x:c r="D6" s="261" t="n">
        <x:f>'Assumptions'!D7</x:f>
        <x:v>900</x:v>
      </x:c>
      <x:c r="E6" s="265" t="n">
        <x:f>(B6-D6)/B6</x:f>
        <x:v>0.05263157894736842</x:v>
      </x:c>
      <x:c r="F6" s="265" t="n">
        <x:f>(C6-D6)/C6</x:f>
        <x:v>0.6</x:v>
      </x:c>
      <x:c r="G6" s="265" t="n">
        <x:f>C6/B6-1</x:f>
        <x:v>1.3684210526315788</x:v>
      </x:c>
      <x:c r="H6" s="263" t="n">
        <x:f>'Assumptions'!E7</x:f>
        <x:v>10</x:v>
      </x:c>
      <x:c r="I6" s="261" t="n">
        <x:f>B6/H6</x:f>
        <x:v>95</x:v>
      </x:c>
      <x:c r="J6" s="261" t="n">
        <x:f>C6/H6</x:f>
        <x:v>225</x:v>
      </x:c>
    </x:row>
    <x:row r="7" ht="15" hidden="0" customHeight="1">
      <x:c r="A7" s="264" t="str">
        <x:f>'Assumptions'!A8</x:f>
        <x:v>Heutrix Workflow Transformation — Standard</x:v>
      </x:c>
      <x:c r="B7" s="261" t="n">
        <x:f>'Assumptions'!B8</x:f>
        <x:v>2500</x:v>
      </x:c>
      <x:c r="C7" s="261" t="n">
        <x:f>'Assumptions'!C8</x:f>
        <x:v>10000</x:v>
      </x:c>
      <x:c r="D7" s="261" t="n">
        <x:f>'Assumptions'!D8</x:f>
        <x:v>4000</x:v>
      </x:c>
      <x:c r="E7" s="265" t="n">
        <x:f>(B7-D7)/B7</x:f>
        <x:v>-0.6</x:v>
      </x:c>
      <x:c r="F7" s="265" t="n">
        <x:f>(C7-D7)/C7</x:f>
        <x:v>0.6</x:v>
      </x:c>
      <x:c r="G7" s="265" t="n">
        <x:f>C7/B7-1</x:f>
        <x:v>3</x:v>
      </x:c>
      <x:c r="H7" s="263" t="n">
        <x:f>'Assumptions'!E8</x:f>
        <x:v>50</x:v>
      </x:c>
      <x:c r="I7" s="261" t="n">
        <x:f>B7/H7</x:f>
        <x:v>50</x:v>
      </x:c>
      <x:c r="J7" s="261" t="n">
        <x:f>C7/H7</x:f>
        <x:v>200</x:v>
      </x:c>
    </x:row>
    <x:row r="8" ht="15" hidden="0" customHeight="1">
      <x:c r="A8" s="264" t="str">
        <x:f>'Assumptions'!A9</x:f>
        <x:v>Heutrix Workflow Transformation — Visibility</x:v>
      </x:c>
      <x:c r="B8" s="261" t="n">
        <x:f>'Assumptions'!B9</x:f>
        <x:v>3500</x:v>
      </x:c>
      <x:c r="C8" s="261" t="n">
        <x:f>'Assumptions'!C9</x:f>
        <x:v>12000</x:v>
      </x:c>
      <x:c r="D8" s="261" t="n">
        <x:f>'Assumptions'!D9</x:f>
        <x:v>4800</x:v>
      </x:c>
      <x:c r="E8" s="265" t="n">
        <x:f>(B8-D8)/B8</x:f>
        <x:v>-0.37142857142857144</x:v>
      </x:c>
      <x:c r="F8" s="265" t="n">
        <x:f>(C8-D8)/C8</x:f>
        <x:v>0.6</x:v>
      </x:c>
      <x:c r="G8" s="265" t="n">
        <x:f>C8/B8-1</x:f>
        <x:v>2.4285714285714284</x:v>
      </x:c>
      <x:c r="H8" s="263" t="n">
        <x:f>'Assumptions'!E9</x:f>
        <x:v>60</x:v>
      </x:c>
      <x:c r="I8" s="261" t="n">
        <x:f>B8/H8</x:f>
        <x:v>58.333333333333336</x:v>
      </x:c>
      <x:c r="J8" s="261" t="n">
        <x:f>C8/H8</x:f>
        <x:v>200</x:v>
      </x:c>
    </x:row>
    <x:row r="9" ht="15" hidden="0" customHeight="1">
      <x:c r="A9" s="264" t="str">
        <x:f>'Assumptions'!A10</x:f>
        <x:v>Heutrix AI Guardrails</x:v>
      </x:c>
      <x:c r="B9" s="261" t="n">
        <x:f>'Assumptions'!B10</x:f>
        <x:v>1800</x:v>
      </x:c>
      <x:c r="C9" s="261" t="n">
        <x:f>'Assumptions'!C10</x:f>
        <x:v>5500</x:v>
      </x:c>
      <x:c r="D9" s="261" t="n">
        <x:f>'Assumptions'!D10</x:f>
        <x:v>2000</x:v>
      </x:c>
      <x:c r="E9" s="265" t="n">
        <x:f>(B9-D9)/B9</x:f>
        <x:v>-0.1111111111111111</x:v>
      </x:c>
      <x:c r="F9" s="265" t="n">
        <x:f>(C9-D9)/C9</x:f>
        <x:v>0.6363636363636364</x:v>
      </x:c>
      <x:c r="G9" s="265" t="n">
        <x:f>C9/B9-1</x:f>
        <x:v>2.0555555555555554</x:v>
      </x:c>
      <x:c r="H9" s="263" t="n">
        <x:f>'Assumptions'!E10</x:f>
        <x:v>30</x:v>
      </x:c>
      <x:c r="I9" s="261" t="n">
        <x:f>B9/H9</x:f>
        <x:v>60</x:v>
      </x:c>
      <x:c r="J9" s="261" t="n">
        <x:f>C9/H9</x:f>
        <x:v>183.33333333333334</x:v>
      </x:c>
    </x:row>
    <x:row r="10" ht="15" hidden="0" customHeight="1">
      <x:c r="A10" s="264" t="str">
        <x:f>'Assumptions'!A11</x:f>
        <x:v>Heutrix Workflow Transformation — Expanded</x:v>
      </x:c>
      <x:c r="B10" s="261" t="n">
        <x:f>'Assumptions'!B11</x:f>
        <x:v>4500</x:v>
      </x:c>
      <x:c r="C10" s="261" t="n">
        <x:f>'Assumptions'!C11</x:f>
        <x:v>20000</x:v>
      </x:c>
      <x:c r="D10" s="261" t="n">
        <x:f>'Assumptions'!D11</x:f>
        <x:v>8000</x:v>
      </x:c>
      <x:c r="E10" s="265" t="n">
        <x:f>(B10-D10)/B10</x:f>
        <x:v>-0.7777777777777778</x:v>
      </x:c>
      <x:c r="F10" s="265" t="n">
        <x:f>(C10-D10)/C10</x:f>
        <x:v>0.6</x:v>
      </x:c>
      <x:c r="G10" s="265" t="n">
        <x:f>C10/B10-1</x:f>
        <x:v>3.4444444444444446</x:v>
      </x:c>
      <x:c r="H10" s="263" t="n">
        <x:f>'Assumptions'!E11</x:f>
        <x:v>100</x:v>
      </x:c>
      <x:c r="I10" s="261" t="n">
        <x:f>B10/H10</x:f>
        <x:v>45</x:v>
      </x:c>
      <x:c r="J10" s="261" t="n">
        <x:f>C10/H10</x:f>
        <x:v>200</x:v>
      </x:c>
    </x:row>
    <x:row r="11">
      <x:c r="A11" s="240"/>
      <x:c r="B11" s="240"/>
      <x:c r="C11" s="240"/>
      <x:c r="D11" s="240"/>
      <x:c r="E11" s="240"/>
      <x:c r="F11" s="240"/>
      <x:c r="G11" s="240"/>
      <x:c r="H11" s="240"/>
      <x:c r="I11" s="240"/>
      <x:c r="J11" s="240"/>
    </x:row>
    <x:row r="12">
      <x:c r="A12" s="240"/>
      <x:c r="B12" s="240"/>
      <x:c r="C12" s="240"/>
      <x:c r="D12" s="240"/>
      <x:c r="E12" s="240"/>
      <x:c r="F12" s="240"/>
      <x:c r="G12" s="240"/>
      <x:c r="H12" s="240"/>
      <x:c r="I12" s="240"/>
      <x:c r="J12" s="240"/>
    </x:row>
    <x:row r="13" ht="15" hidden="0" customHeight="1">
      <x:c r="A13" s="11" t="str">
        <x:v>Base Year 1 economics at identical project volume</x:v>
      </x:c>
      <x:c r="B13" s="11" t="str">
        <x:v>Base Year 1 economics at identical project volume</x:v>
      </x:c>
      <x:c r="C13" s="11" t="str">
        <x:v>Base Year 1 economics at identical project volume</x:v>
      </x:c>
      <x:c r="D13" s="11" t="str">
        <x:v>Base Year 1 economics at identical project volume</x:v>
      </x:c>
      <x:c r="E13" s="11" t="str">
        <x:v>Base Year 1 economics at identical project volume</x:v>
      </x:c>
      <x:c r="F13" s="11" t="str">
        <x:v>Base Year 1 economics at identical project volume</x:v>
      </x:c>
      <x:c r="G13" s="240"/>
      <x:c r="H13" s="240"/>
      <x:c r="I13" s="240"/>
      <x:c r="J13" s="240"/>
    </x:row>
    <x:row r="14" ht="15" hidden="0" customHeight="1">
      <x:c r="A14" s="20" t="str">
        <x:v>Measure</x:v>
      </x:c>
      <x:c r="B14" s="21" t="str">
        <x:v>Reference pricing</x:v>
      </x:c>
      <x:c r="C14" s="21" t="str">
        <x:v>Target pricing</x:v>
      </x:c>
      <x:c r="D14" s="21" t="str">
        <x:v>Difference</x:v>
      </x:c>
      <x:c r="E14" s="21" t="str">
        <x:v>Multiple</x:v>
      </x:c>
      <x:c r="F14" s="22" t="str">
        <x:v>Interpretation</x:v>
      </x:c>
      <x:c r="G14" s="240"/>
      <x:c r="H14" s="240"/>
      <x:c r="I14" s="240"/>
      <x:c r="J14" s="240"/>
    </x:row>
    <x:row r="15" ht="30" hidden="0" customHeight="1">
      <x:c r="A15" s="241" t="str">
        <x:v>Project revenue</x:v>
      </x:c>
      <x:c r="B15" s="242" t="n">
        <x:f>SUMPRODUCT('Assumptions'!$B$7:$B$11,'Assumptions'!$J$7:$J$11)</x:f>
        <x:v>46800</x:v>
      </x:c>
      <x:c r="C15" s="242" t="n">
        <x:f>SUMPRODUCT('Assumptions'!$C$7:$C$11,'Assumptions'!$J$7:$J$11)</x:f>
        <x:v>159500</x:v>
      </x:c>
      <x:c r="D15" s="242" t="n">
        <x:f>C15-B15</x:f>
        <x:v>112700</x:v>
      </x:c>
      <x:c r="E15" s="266" t="n">
        <x:f>IF(OR(B15&lt;=0,C15&lt;=0),"",C15/B15)</x:f>
        <x:v>3.408119658119658</x:v>
      </x:c>
      <x:c r="F15" s="267" t="str">
        <x:v>Same work, different price architecture</x:v>
      </x:c>
      <x:c r="G15" s="240"/>
      <x:c r="H15" s="240"/>
      <x:c r="I15" s="240"/>
      <x:c r="J15" s="240"/>
    </x:row>
    <x:row r="16" ht="30" hidden="0" customHeight="1">
      <x:c r="A16" s="244" t="str">
        <x:v>Loaded project cost</x:v>
      </x:c>
      <x:c r="B16" s="246" t="n">
        <x:f>SUMPRODUCT('Assumptions'!$D$7:$D$11,'Assumptions'!$J$7:$J$11)</x:f>
        <x:v>63200</x:v>
      </x:c>
      <x:c r="C16" s="246" t="n">
        <x:f>B16</x:f>
        <x:v>63200</x:v>
      </x:c>
      <x:c r="D16" s="246" t="n">
        <x:f>C16-B16</x:f>
        <x:v>0</x:v>
      </x:c>
      <x:c r="E16" s="268" t="n">
        <x:f>IF(OR(B16&lt;=0,C16&lt;=0),"",C16/B16)</x:f>
        <x:v>1</x:v>
      </x:c>
      <x:c r="F16" s="269" t="str">
        <x:v>Cost assumption held constant</x:v>
      </x:c>
      <x:c r="G16" s="240"/>
      <x:c r="H16" s="240"/>
      <x:c r="I16" s="240"/>
      <x:c r="J16" s="240"/>
    </x:row>
    <x:row r="17" ht="30" hidden="0" customHeight="1">
      <x:c r="A17" s="244" t="str">
        <x:v>Gross profit</x:v>
      </x:c>
      <x:c r="B17" s="246" t="n">
        <x:f>B15-B16</x:f>
        <x:v>-16400</x:v>
      </x:c>
      <x:c r="C17" s="246" t="n">
        <x:f>C15-C16</x:f>
        <x:v>96300</x:v>
      </x:c>
      <x:c r="D17" s="246" t="n">
        <x:f>C17-B17</x:f>
        <x:v>112700</x:v>
      </x:c>
      <x:c r="E17" s="268" t="str">
        <x:f>IF(OR(B17&lt;=0,C17&lt;=0),"",C17/B17)</x:f>
      </x:c>
      <x:c r="F17" s="269" t="str">
        <x:v>Reference prices fail the full-scope test</x:v>
      </x:c>
      <x:c r="G17" s="240"/>
      <x:c r="H17" s="240"/>
      <x:c r="I17" s="240"/>
      <x:c r="J17" s="240"/>
    </x:row>
    <x:row r="18" ht="30" hidden="0" customHeight="1">
      <x:c r="A18" s="256" t="str">
        <x:v>Gross margin</x:v>
      </x:c>
      <x:c r="B18" s="270" t="n">
        <x:f>B17/B15</x:f>
        <x:v>-0.3504273504273504</x:v>
      </x:c>
      <x:c r="C18" s="270" t="n">
        <x:f>C17/C15</x:f>
        <x:v>0.6037617554858934</x:v>
      </x:c>
      <x:c r="D18" s="270" t="n">
        <x:f>C18-B18</x:f>
        <x:v>0.9541891059132438</x:v>
      </x:c>
      <x:c r="E18" s="271" t="str">
        <x:f>IF(OR(B18&lt;=0,C18&lt;=0),"",C18/B18)</x:f>
      </x:c>
      <x:c r="F18" s="272" t="str">
        <x:v>Target pricing clears the 60% launch floor</x:v>
      </x:c>
      <x:c r="G18" s="240"/>
      <x:c r="H18" s="240"/>
      <x:c r="I18" s="240"/>
      <x:c r="J18" s="240"/>
    </x:row>
    <x:row r="19"/>
    <x:row r="20"/>
  </x:sheetData>
  <x:mergeCells>
    <x:mergeCell ref="A1:J1"/>
    <x:mergeCell ref="A2:J3"/>
    <x:mergeCell ref="A13:F13"/>
  </x:mergeCells>
  <x:conditionalFormatting sqref="E6:E10">
    <x:cfRule type="cellIs" dxfId="3" priority="1" operator="lessThan">
      <x:formula>0</x:formula>
    </x:cfRule>
  </x:conditionalFormatting>
  <x:conditionalFormatting sqref="F6:F10">
    <x:cfRule type="cellIs" dxfId="4" priority="2" operator="greaterThanOrEqual">
      <x:formula>0.6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24" hidden="0" customWidth="1"/>
    <x:col min="4" max="4" width="18" hidden="0" customWidth="1"/>
    <x:col min="5" max="5" width="14" hidden="0" customWidth="1"/>
    <x:col min="6" max="6" width="30" hidden="0" customWidth="1"/>
    <x:col min="7" max="7" width="28" hidden="0" customWidth="1"/>
    <x:col min="8" max="8" width="38" hidden="0" customWidth="1"/>
  </x:cols>
  <x:sheetData>
    <x:row r="1" ht="21.600000381469727" hidden="0" customHeight="1">
      <x:c r="A1" s="4" t="str">
        <x:v>Market Evidence and Addressable Beachhead</x:v>
      </x:c>
      <x:c r="B1" s="4" t="str">
        <x:v>Market Evidence and Addressable Beachhead</x:v>
      </x:c>
      <x:c r="C1" s="4" t="str">
        <x:v>Market Evidence and Addressable Beachhead</x:v>
      </x:c>
      <x:c r="D1" s="4" t="str">
        <x:v>Market Evidence and Addressable Beachhead</x:v>
      </x:c>
      <x:c r="E1" s="4" t="str">
        <x:v>Market Evidence and Addressable Beachhead</x:v>
      </x:c>
      <x:c r="F1" s="4" t="str">
        <x:v>Market Evidence and Addressable Beachhead</x:v>
      </x:c>
      <x:c r="G1" s="4" t="str">
        <x:v>Market Evidence and Addressable Beachhead</x:v>
      </x:c>
      <x:c r="H1" s="4" t="str">
        <x:v>Market Evidence and Addressable Beachhead</x:v>
      </x:c>
    </x:row>
    <x:row r="2">
      <x:c r="A2" s="239" t="str">
        <x:v>Official sources support a real but operationally constrained opportunity. The model uses a narrow NDIS-provider beachhead and treats allied-health workforce data as corroboration—not additive account counts—to avoid double counting.</x:v>
      </x:c>
      <x:c r="B2" s="239"/>
      <x:c r="C2" s="239"/>
      <x:c r="D2" s="239"/>
      <x:c r="E2" s="239"/>
      <x:c r="F2" s="239"/>
      <x:c r="G2" s="239"/>
      <x:c r="H2" s="239"/>
    </x:row>
    <x:row r="3">
      <x:c r="A3" s="239"/>
      <x:c r="B3" s="239"/>
      <x:c r="C3" s="239"/>
      <x:c r="D3" s="239"/>
      <x:c r="E3" s="239"/>
      <x:c r="F3" s="239"/>
      <x:c r="G3" s="239"/>
      <x:c r="H3" s="239"/>
    </x:row>
    <x:row r="4">
      <x:c r="A4" s="240"/>
      <x:c r="B4" s="240"/>
      <x:c r="C4" s="240"/>
      <x:c r="D4" s="240"/>
      <x:c r="E4" s="240"/>
      <x:c r="F4" s="240"/>
      <x:c r="G4" s="240"/>
      <x:c r="H4" s="240"/>
    </x:row>
    <x:row r="5" ht="15" hidden="0" customHeight="1">
      <x:c r="A5" s="20" t="str">
        <x:v>Evidence</x:v>
      </x:c>
      <x:c r="B5" s="21" t="str">
        <x:v>Value</x:v>
      </x:c>
      <x:c r="C5" s="21" t="str">
        <x:v>Unit</x:v>
      </x:c>
      <x:c r="D5" s="21" t="str">
        <x:v>As of</x:v>
      </x:c>
      <x:c r="E5" s="21" t="str">
        <x:v>Source ID</x:v>
      </x:c>
      <x:c r="F5" s="21" t="str">
        <x:v>Use in model</x:v>
      </x:c>
      <x:c r="G5" s="21" t="str">
        <x:v>Limitation</x:v>
      </x:c>
      <x:c r="H5" s="22" t="str">
        <x:v>Decision implication</x:v>
      </x:c>
    </x:row>
    <x:row r="6" ht="34" hidden="0" customHeight="1">
      <x:c r="A6" s="273" t="str">
        <x:v>Allied health workforce</x:v>
      </x:c>
      <x:c r="B6" s="274" t="n">
        <x:v>300000</x:v>
      </x:c>
      <x:c r="C6" s="273" t="str">
        <x:v>professionals (approx.)</x:v>
      </x:c>
      <x:c r="D6" s="273" t="str">
        <x:v>current page</x:v>
      </x:c>
      <x:c r="E6" s="273" t="str">
        <x:v>S1</x:v>
      </x:c>
      <x:c r="F6" s="273" t="str">
        <x:v>Context only</x:v>
      </x:c>
      <x:c r="G6" s="273" t="str">
        <x:v>Professionals are not business accounts</x:v>
      </x:c>
      <x:c r="H6" s="273" t="str">
        <x:v>Large workforce; do not turn directly into TAM accounts</x:v>
      </x:c>
    </x:row>
    <x:row r="7" ht="34" hidden="0" customHeight="1">
      <x:c r="A7" s="273" t="str">
        <x:v>AHPA survey sample</x:v>
      </x:c>
      <x:c r="B7" s="274" t="n">
        <x:v>2419</x:v>
      </x:c>
      <x:c r="C7" s="273" t="str">
        <x:v>participants</x:v>
      </x:c>
      <x:c r="D7" s="273" t="str">
        <x:v>2024 survey</x:v>
      </x:c>
      <x:c r="E7" s="273" t="str">
        <x:v>S2</x:v>
      </x:c>
      <x:c r="F7" s="273" t="str">
        <x:v>Digital-readiness evidence</x:v>
      </x:c>
      <x:c r="G7" s="273" t="str">
        <x:v>Survey is ~1% of workforce</x:v>
      </x:c>
      <x:c r="H7" s="273" t="str">
        <x:v>Directionally useful, not a census</x:v>
      </x:c>
    </x:row>
    <x:row r="8" ht="34" hidden="0" customHeight="1">
      <x:c r="A8" s="273" t="str">
        <x:v>Small organisations / sole traders</x:v>
      </x:c>
      <x:c r="B8" s="275" t="n">
        <x:v>0.53</x:v>
      </x:c>
      <x:c r="C8" s="273" t="str">
        <x:v>share of survey</x:v>
      </x:c>
      <x:c r="D8" s="273" t="str">
        <x:v>2024 survey</x:v>
      </x:c>
      <x:c r="E8" s="273" t="str">
        <x:v>S2</x:v>
      </x:c>
      <x:c r="F8" s="273" t="str">
        <x:v>ICP filter context</x:v>
      </x:c>
      <x:c r="G8" s="273" t="str">
        <x:v>Includes sole traders and teams ≤5</x:v>
      </x:c>
      <x:c r="H8" s="273" t="str">
        <x:v>Budget and capacity filters matter</x:v>
      </x:c>
    </x:row>
    <x:row r="9" ht="34" hidden="0" customHeight="1">
      <x:c r="A9" s="273" t="str">
        <x:v>Organisations with 6–200 people</x:v>
      </x:c>
      <x:c r="B9" s="275" t="n">
        <x:v>0.34</x:v>
      </x:c>
      <x:c r="C9" s="273" t="str">
        <x:v>share of survey</x:v>
      </x:c>
      <x:c r="D9" s="273" t="str">
        <x:v>2024 survey</x:v>
      </x:c>
      <x:c r="E9" s="273" t="str">
        <x:v>S2</x:v>
      </x:c>
      <x:c r="F9" s="273" t="str">
        <x:v>ICP size band</x:v>
      </x:c>
      <x:c r="G9" s="273" t="str">
        <x:v>Respondent workplace size, not count of firms</x:v>
      </x:c>
      <x:c r="H9" s="273" t="str">
        <x:v>Good initial service-led segment</x:v>
      </x:c>
    </x:row>
    <x:row r="10" ht="34" hidden="0" customHeight="1">
      <x:c r="A10" s="273" t="str">
        <x:v>Use a clinical information system</x:v>
      </x:c>
      <x:c r="B10" s="275" t="n">
        <x:v>0.64</x:v>
      </x:c>
      <x:c r="C10" s="273" t="str">
        <x:v>share of survey</x:v>
      </x:c>
      <x:c r="D10" s="273" t="str">
        <x:v>2024 survey</x:v>
      </x:c>
      <x:c r="E10" s="273" t="str">
        <x:v>S2</x:v>
      </x:c>
      <x:c r="F10" s="273" t="str">
        <x:v>Integration context</x:v>
      </x:c>
      <x:c r="G10" s="273" t="str">
        <x:v>Self-reported</x:v>
      </x:c>
      <x:c r="H10" s="273" t="str">
        <x:v>Heutrix should wrap existing core systems</x:v>
      </x:c>
    </x:row>
    <x:row r="11" ht="34" hidden="0" customHeight="1">
      <x:c r="A11" s="273" t="str">
        <x:v>Active registered NDIS providers — Australia</x:v>
      </x:c>
      <x:c r="B11" s="274" t="n">
        <x:v>17717</x:v>
      </x:c>
      <x:c r="C11" s="273" t="str">
        <x:v>providers</x:v>
      </x:c>
      <x:c r="D11" s="273" t="str">
        <x:v>Mar 2026</x:v>
      </x:c>
      <x:c r="E11" s="273" t="str">
        <x:v>S3</x:v>
      </x:c>
      <x:c r="F11" s="273" t="str">
        <x:v>Core market anchor</x:v>
      </x:c>
      <x:c r="G11" s="273" t="str">
        <x:v>National unique count</x:v>
      </x:c>
      <x:c r="H11" s="273" t="str">
        <x:v>Enough accounts for a focused niche</x:v>
      </x:c>
    </x:row>
    <x:row r="12" ht="34" hidden="0" customHeight="1">
      <x:c r="A12" s="273" t="str">
        <x:v>Active registered NDIS providers — Victoria</x:v>
      </x:c>
      <x:c r="B12" s="274" t="n">
        <x:v>6622</x:v>
      </x:c>
      <x:c r="C12" s="273" t="str">
        <x:v>providers operating with VIC participants</x:v>
      </x:c>
      <x:c r="D12" s="273" t="str">
        <x:v>Mar 2026</x:v>
      </x:c>
      <x:c r="E12" s="273" t="str">
        <x:v>S3</x:v>
      </x:c>
      <x:c r="F12" s="273" t="str">
        <x:v>Geographic beachhead</x:v>
      </x:c>
      <x:c r="G12" s="273" t="str">
        <x:v>State counts are not unique across states</x:v>
      </x:c>
      <x:c r="H12" s="273" t="str">
        <x:v>Melbourne/Victoria can support initial focus</x:v>
      </x:c>
    </x:row>
    <x:row r="13" ht="34" hidden="0" customHeight="1">
      <x:c r="A13" s="273" t="str">
        <x:v>NDIS scheme expense growth</x:v>
      </x:c>
      <x:c r="B13" s="275" t="n">
        <x:v>0.094</x:v>
      </x:c>
      <x:c r="C13" s="273" t="str">
        <x:v>projected FY26 growth</x:v>
      </x:c>
      <x:c r="D13" s="273" t="str">
        <x:v>2024–25 AFSR</x:v>
      </x:c>
      <x:c r="E13" s="273" t="str">
        <x:v>S5</x:v>
      </x:c>
      <x:c r="F13" s="273" t="str">
        <x:v>Sector context</x:v>
      </x:c>
      <x:c r="G13" s="273" t="str">
        <x:v>Scheme spend is not Heutrix revenue growth</x:v>
      </x:c>
      <x:c r="H13" s="273" t="str">
        <x:v>Demand exists, but provider economics remain pressured</x:v>
      </x:c>
    </x:row>
    <x:row r="14">
      <x:c r="A14" s="240"/>
      <x:c r="B14" s="240"/>
      <x:c r="C14" s="240"/>
      <x:c r="D14" s="240"/>
      <x:c r="E14" s="240"/>
      <x:c r="F14" s="240"/>
      <x:c r="G14" s="240"/>
      <x:c r="H14" s="240"/>
    </x:row>
    <x:row r="15">
      <x:c r="A15" s="240"/>
      <x:c r="B15" s="240"/>
      <x:c r="C15" s="240"/>
      <x:c r="D15" s="240"/>
      <x:c r="E15" s="240"/>
      <x:c r="F15" s="240"/>
      <x:c r="G15" s="240"/>
      <x:c r="H15" s="240"/>
    </x:row>
    <x:row r="16" ht="15" hidden="0" customHeight="1">
      <x:c r="A16" s="11" t="str">
        <x:v>Illustrative serviceable account range — NDIS core only</x:v>
      </x:c>
      <x:c r="B16" s="11" t="str">
        <x:v>Illustrative serviceable account range — NDIS core only</x:v>
      </x:c>
      <x:c r="C16" s="11" t="str">
        <x:v>Illustrative serviceable account range — NDIS core only</x:v>
      </x:c>
      <x:c r="D16" s="11" t="str">
        <x:v>Illustrative serviceable account range — NDIS core only</x:v>
      </x:c>
      <x:c r="E16" s="11" t="str">
        <x:v>Illustrative serviceable account range — NDIS core only</x:v>
      </x:c>
      <x:c r="F16" s="11" t="str">
        <x:v>Illustrative serviceable account range — NDIS core only</x:v>
      </x:c>
      <x:c r="G16" s="11" t="str">
        <x:v>Illustrative serviceable account range — NDIS core only</x:v>
      </x:c>
      <x:c r="H16" s="11" t="str">
        <x:v>Illustrative serviceable account range — NDIS core only</x:v>
      </x:c>
    </x:row>
    <x:row r="17" ht="15" hidden="0" customHeight="1">
      <x:c r="A17" s="20" t="str">
        <x:v>Metric</x:v>
      </x:c>
      <x:c r="B17" s="21" t="str">
        <x:v>Low</x:v>
      </x:c>
      <x:c r="C17" s="21" t="str">
        <x:v>Base</x:v>
      </x:c>
      <x:c r="D17" s="21" t="str">
        <x:v>High</x:v>
      </x:c>
      <x:c r="E17" s="21" t="str">
        <x:v>Unit</x:v>
      </x:c>
      <x:c r="F17" s="21" t="str">
        <x:v>Formula / assumption</x:v>
      </x:c>
      <x:c r="G17" s="21" t="str">
        <x:v>Source</x:v>
      </x:c>
      <x:c r="H17" s="22" t="str">
        <x:v>Interpretation</x:v>
      </x:c>
    </x:row>
    <x:row r="18" ht="32" hidden="0" customHeight="1">
      <x:c r="A18" s="273" t="str">
        <x:v>Active registered providers</x:v>
      </x:c>
      <x:c r="B18" s="276" t="n">
        <x:f>B11</x:f>
        <x:v>17717</x:v>
      </x:c>
      <x:c r="C18" s="276" t="n">
        <x:f>B11</x:f>
        <x:v>17717</x:v>
      </x:c>
      <x:c r="D18" s="276" t="n">
        <x:f>B11</x:f>
        <x:v>17717</x:v>
      </x:c>
      <x:c r="E18" s="273" t="str">
        <x:v>providers</x:v>
      </x:c>
      <x:c r="F18" s="273" t="str">
        <x:v>Official anchor</x:v>
      </x:c>
      <x:c r="G18" s="273" t="str">
        <x:v>S3</x:v>
      </x:c>
      <x:c r="H18" s="273" t="str">
        <x:v>Not a full TAM</x:v>
      </x:c>
    </x:row>
    <x:row r="19" ht="32" hidden="0" customHeight="1">
      <x:c r="A19" s="273" t="str">
        <x:v>Commercial-fit filter</x:v>
      </x:c>
      <x:c r="B19" s="277" t="n">
        <x:v>0.1</x:v>
      </x:c>
      <x:c r="C19" s="278" t="n">
        <x:v>0.175</x:v>
      </x:c>
      <x:c r="D19" s="279" t="n">
        <x:v>0.25</x:v>
      </x:c>
      <x:c r="E19" s="273" t="str">
        <x:v>%</x:v>
      </x:c>
      <x:c r="F19" s="273" t="str">
        <x:v>Editable planning filter</x:v>
      </x:c>
      <x:c r="G19" s="273" t="str">
        <x:v>Assumption</x:v>
      </x:c>
      <x:c r="H19" s="273" t="str">
        <x:v>Filters for size, pain, maturity and budget</x:v>
      </x:c>
    </x:row>
    <x:row r="20" ht="32" hidden="0" customHeight="1">
      <x:c r="A20" s="273" t="str">
        <x:v>Serviceable accounts</x:v>
      </x:c>
      <x:c r="B20" s="276" t="n">
        <x:f>B18*B19</x:f>
        <x:v>1771.7</x:v>
      </x:c>
      <x:c r="C20" s="276" t="n">
        <x:f>C18*C19</x:f>
        <x:v>3100.475</x:v>
      </x:c>
      <x:c r="D20" s="276" t="n">
        <x:f>D18*D19</x:f>
        <x:v>4429.25</x:v>
      </x:c>
      <x:c r="E20" s="273" t="str">
        <x:v>accounts</x:v>
      </x:c>
      <x:c r="F20" s="273" t="str">
        <x:v>Registered providers × fit filter</x:v>
      </x:c>
      <x:c r="G20" s="273" t="str">
        <x:v>S3 + assumption</x:v>
      </x:c>
      <x:c r="H20" s="273" t="str">
        <x:v>Excludes non-NDIS allied-health upside</x:v>
      </x:c>
    </x:row>
    <x:row r="21" ht="32" hidden="0" customHeight="1">
      <x:c r="A21" s="273" t="str">
        <x:v>Illustrative project pool</x:v>
      </x:c>
      <x:c r="B21" s="280" t="n">
        <x:f>B20*'Assumptions'!$C$8</x:f>
        <x:v>17717000</x:v>
      </x:c>
      <x:c r="C21" s="280" t="n">
        <x:f>C20*'Assumptions'!$C$8</x:f>
        <x:v>31004750</x:v>
      </x:c>
      <x:c r="D21" s="280" t="n">
        <x:f>D20*'Assumptions'!$C$8</x:f>
        <x:v>44292500</x:v>
      </x:c>
      <x:c r="E21" s="273" t="str">
        <x:v>$ one-time pool</x:v>
      </x:c>
      <x:c r="F21" s="273" t="str">
        <x:v>Accounts × target Workflow Transformation ASP</x:v>
      </x:c>
      <x:c r="G21" s="273" t="str">
        <x:v>S3 + assumption</x:v>
      </x:c>
      <x:c r="H21" s="273" t="str">
        <x:v>Opportunity pool, not annual recurring revenue</x:v>
      </x:c>
    </x:row>
    <x:row r="22" ht="32" hidden="0" customHeight="1">
      <x:c r="A22" s="273" t="str">
        <x:v>Base Year 3 customer wins</x:v>
      </x:c>
      <x:c r="B22" s="276" t="n">
        <x:f>'Forecast'!D36</x:f>
        <x:v>43</x:v>
      </x:c>
      <x:c r="C22" s="276" t="n">
        <x:f>'Forecast'!D36</x:f>
        <x:v>43</x:v>
      </x:c>
      <x:c r="D22" s="276" t="n">
        <x:f>'Forecast'!D36</x:f>
        <x:v>43</x:v>
      </x:c>
      <x:c r="E22" s="273" t="str">
        <x:v>customers</x:v>
      </x:c>
      <x:c r="F22" s="273" t="str">
        <x:v>Base forecast</x:v>
      </x:c>
      <x:c r="G22" s="273" t="str">
        <x:v>Forecast</x:v>
      </x:c>
      <x:c r="H22" s="273" t="str">
        <x:v>Operational SOM target</x:v>
      </x:c>
    </x:row>
    <x:row r="23" ht="32" hidden="0" customHeight="1">
      <x:c r="A23" s="273" t="str">
        <x:v>Share of serviceable accounts</x:v>
      </x:c>
      <x:c r="B23" s="281" t="n">
        <x:f>B22/B20</x:f>
        <x:v>0.024270474685330473</x:v>
      </x:c>
      <x:c r="C23" s="281" t="n">
        <x:f>C22/C20</x:f>
        <x:v>0.0138688426773317</x:v>
      </x:c>
      <x:c r="D23" s="281" t="n">
        <x:f>D22/D20</x:f>
        <x:v>0.00970818987413219</x:v>
      </x:c>
      <x:c r="E23" s="273" t="str">
        <x:v>%</x:v>
      </x:c>
      <x:c r="F23" s="273" t="str">
        <x:v>Customer wins ÷ serviceable accounts</x:v>
      </x:c>
      <x:c r="G23" s="273" t="str">
        <x:v>Forecast</x:v>
      </x:c>
      <x:c r="H23" s="273" t="str">
        <x:v>Capacity—not market size—is the near-term constraint</x:v>
      </x:c>
    </x:row>
    <x:row r="24">
      <x:c r="A24" s="240"/>
      <x:c r="B24" s="240"/>
      <x:c r="C24" s="240"/>
      <x:c r="D24" s="240"/>
      <x:c r="E24" s="240"/>
      <x:c r="F24" s="240"/>
      <x:c r="G24" s="240"/>
      <x:c r="H24" s="240"/>
    </x:row>
    <x:row r="25">
      <x:c r="A25" s="239" t="str">
        <x:v>Interpretation: the model deliberately avoids manufacturing a precise TAM. The 1,772–4,429 serviceable-account range is a sensitivity around the official registered-provider count. It excludes unregistered and non-NDIS allied-health businesses, and it does not assume every suitable organisation buys in one year.</x:v>
      </x:c>
      <x:c r="B25" s="239"/>
      <x:c r="C25" s="239"/>
      <x:c r="D25" s="239"/>
      <x:c r="E25" s="239"/>
      <x:c r="F25" s="239"/>
      <x:c r="G25" s="239"/>
      <x:c r="H25" s="239"/>
    </x:row>
    <x:row r="26">
      <x:c r="A26" s="239"/>
      <x:c r="B26" s="239"/>
      <x:c r="C26" s="239"/>
      <x:c r="D26" s="239"/>
      <x:c r="E26" s="239"/>
      <x:c r="F26" s="239"/>
      <x:c r="G26" s="239"/>
      <x:c r="H26" s="239"/>
    </x:row>
    <x:row r="27">
      <x:c r="A27" s="239"/>
      <x:c r="B27" s="239"/>
      <x:c r="C27" s="239"/>
      <x:c r="D27" s="239"/>
      <x:c r="E27" s="239"/>
      <x:c r="F27" s="239"/>
      <x:c r="G27" s="239"/>
      <x:c r="H27" s="239"/>
    </x:row>
  </x:sheetData>
  <x:mergeCells>
    <x:mergeCell ref="A1:H1"/>
    <x:mergeCell ref="A2:H3"/>
    <x:mergeCell ref="A16:H16"/>
    <x:mergeCell ref="A25:H2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24" hidden="0" customWidth="1"/>
    <x:col min="7" max="7" width="25" hidden="0" customWidth="1"/>
    <x:col min="8" max="8" width="38" hidden="0" customWidth="1"/>
    <x:col min="9" max="9" width="3" hidden="0" customWidth="1"/>
    <x:col min="10" max="10" width="3" hidden="0" customWidth="1"/>
  </x:cols>
  <x:sheetData>
    <x:row r="1" ht="21.600000381469727" hidden="0" customHeight="1">
      <x:c r="A1" s="4" t="str">
        <x:v>Demand Funnel, Capacity Gates and Scale Sequence</x:v>
      </x:c>
      <x:c r="B1" s="4" t="str">
        <x:v>Demand Funnel, Capacity Gates and Scale Sequence</x:v>
      </x:c>
      <x:c r="C1" s="4" t="str">
        <x:v>Demand Funnel, Capacity Gates and Scale Sequence</x:v>
      </x:c>
      <x:c r="D1" s="4" t="str">
        <x:v>Demand Funnel, Capacity Gates and Scale Sequence</x:v>
      </x:c>
      <x:c r="E1" s="4" t="str">
        <x:v>Demand Funnel, Capacity Gates and Scale Sequence</x:v>
      </x:c>
      <x:c r="F1" s="4" t="str">
        <x:v>Demand Funnel, Capacity Gates and Scale Sequence</x:v>
      </x:c>
      <x:c r="G1" s="4" t="str">
        <x:v>Demand Funnel, Capacity Gates and Scale Sequence</x:v>
      </x:c>
      <x:c r="H1" s="4" t="str">
        <x:v>Demand Funnel, Capacity Gates and Scale Sequence</x:v>
      </x:c>
      <x:c r="I1" s="4" t="str">
        <x:v>Demand Funnel, Capacity Gates and Scale Sequence</x:v>
      </x:c>
      <x:c r="J1" s="4" t="str">
        <x:v>Demand Funnel, Capacity Gates and Scale Sequence</x:v>
      </x:c>
    </x:row>
    <x:row r="2">
      <x:c r="A2" s="239" t="str">
        <x:v>Base-case funnel outputs are requirements, not predictions. ‘Relevant visits’ is a web-equivalent denominator; the go-to-market plan should combine referrals, partner channels, founder-led outbound, LinkedIn and search.</x:v>
      </x:c>
      <x:c r="B2" s="239"/>
      <x:c r="C2" s="239"/>
      <x:c r="D2" s="239"/>
      <x:c r="E2" s="239"/>
      <x:c r="F2" s="239"/>
      <x:c r="G2" s="239"/>
      <x:c r="H2" s="239"/>
      <x:c r="I2" s="239"/>
      <x:c r="J2" s="239"/>
    </x:row>
    <x:row r="3">
      <x:c r="A3" s="239"/>
      <x:c r="B3" s="239"/>
      <x:c r="C3" s="239"/>
      <x:c r="D3" s="239"/>
      <x:c r="E3" s="239"/>
      <x:c r="F3" s="239"/>
      <x:c r="G3" s="239"/>
      <x:c r="H3" s="239"/>
      <x:c r="I3" s="239"/>
      <x:c r="J3" s="239"/>
    </x:row>
    <x:row r="4">
      <x:c r="A4" s="240"/>
      <x:c r="B4" s="240"/>
      <x:c r="C4" s="240"/>
      <x:c r="D4" s="240"/>
      <x:c r="E4" s="240"/>
      <x:c r="F4" s="240"/>
      <x:c r="G4" s="240"/>
      <x:c r="H4" s="240"/>
      <x:c r="I4" s="240"/>
      <x:c r="J4" s="240"/>
    </x:row>
    <x:row r="5" ht="15" hidden="0" customHeight="1">
      <x:c r="A5" s="20" t="str">
        <x:v>Metric</x:v>
      </x:c>
      <x:c r="B5" s="21" t="str">
        <x:v>Year 1</x:v>
      </x:c>
      <x:c r="C5" s="21" t="str">
        <x:v>Year 2</x:v>
      </x:c>
      <x:c r="D5" s="21" t="str">
        <x:v>Year 3</x:v>
      </x:c>
      <x:c r="E5" s="21" t="str">
        <x:v>Unit</x:v>
      </x:c>
      <x:c r="F5" s="21" t="str">
        <x:v>Gate</x:v>
      </x:c>
      <x:c r="G5" s="21" t="str">
        <x:v>Owner</x:v>
      </x:c>
      <x:c r="H5" s="22" t="str">
        <x:v>Action</x:v>
      </x:c>
      <x:c r="I5" s="240"/>
      <x:c r="J5" s="240"/>
    </x:row>
    <x:row r="6" ht="32" hidden="0" customHeight="1">
      <x:c r="A6" s="240" t="str">
        <x:v>Revenue</x:v>
      </x:c>
      <x:c r="B6" s="261" t="n">
        <x:f>'Forecast'!B$26</x:f>
        <x:v>182000</x:v>
      </x:c>
      <x:c r="C6" s="261" t="n">
        <x:f>'Forecast'!C$26</x:f>
        <x:v>328000</x:v>
      </x:c>
      <x:c r="D6" s="261" t="n">
        <x:f>'Forecast'!D$26</x:f>
        <x:v>486000</x:v>
      </x:c>
      <x:c r="E6" s="273" t="str">
        <x:v>$</x:v>
      </x:c>
      <x:c r="F6" s="273" t="str">
        <x:v>Commercial readiness</x:v>
      </x:c>
      <x:c r="G6" s="273" t="str">
        <x:v>Founder</x:v>
      </x:c>
      <x:c r="H6" s="273" t="str">
        <x:v>Do not start the forecast clock before launch gates pass</x:v>
      </x:c>
      <x:c r="I6" s="240"/>
      <x:c r="J6" s="240"/>
    </x:row>
    <x:row r="7" ht="32" hidden="0" customHeight="1">
      <x:c r="A7" s="240" t="str">
        <x:v>Customer wins</x:v>
      </x:c>
      <x:c r="B7" s="262" t="n">
        <x:f>'Forecast'!B$36</x:f>
        <x:v>19</x:v>
      </x:c>
      <x:c r="C7" s="262" t="n">
        <x:f>'Forecast'!C$36</x:f>
        <x:v>31</x:v>
      </x:c>
      <x:c r="D7" s="262" t="n">
        <x:f>'Forecast'!D$36</x:f>
        <x:v>43</x:v>
      </x:c>
      <x:c r="E7" s="273" t="str">
        <x:v>customers</x:v>
      </x:c>
      <x:c r="F7" s="273" t="str">
        <x:v>CRM-defined customer</x:v>
      </x:c>
      <x:c r="G7" s="273" t="str">
        <x:v>Founder</x:v>
      </x:c>
      <x:c r="H7" s="273" t="str">
        <x:v>Track source, segment, offer and approval to cite</x:v>
      </x:c>
      <x:c r="I7" s="240"/>
      <x:c r="J7" s="240"/>
    </x:row>
    <x:row r="8" ht="32" hidden="0" customHeight="1">
      <x:c r="A8" s="240" t="str">
        <x:v>Qualified opportunities</x:v>
      </x:c>
      <x:c r="B8" s="262" t="n">
        <x:f>'Forecast'!B$37</x:f>
        <x:v>76</x:v>
      </x:c>
      <x:c r="C8" s="262" t="n">
        <x:f>'Forecast'!C$37</x:f>
        <x:v>124</x:v>
      </x:c>
      <x:c r="D8" s="262" t="n">
        <x:f>'Forecast'!D$37</x:f>
        <x:v>172</x:v>
      </x:c>
      <x:c r="E8" s="273" t="str">
        <x:v>qualified opportunities</x:v>
      </x:c>
      <x:c r="F8" s="273" t="str">
        <x:v>Fit criteria and next step</x:v>
      </x:c>
      <x:c r="G8" s="273" t="str">
        <x:v>Founder</x:v>
      </x:c>
      <x:c r="H8" s="273" t="str">
        <x:v>Use a standard 30-minute fit call</x:v>
      </x:c>
      <x:c r="I8" s="240"/>
      <x:c r="J8" s="240"/>
    </x:row>
    <x:row r="9" ht="32" hidden="0" customHeight="1">
      <x:c r="A9" s="240" t="str">
        <x:v>Relevant visits (web-equivalent)</x:v>
      </x:c>
      <x:c r="B9" s="262" t="n">
        <x:f>'Forecast'!B$38</x:f>
        <x:v>3040</x:v>
      </x:c>
      <x:c r="C9" s="262" t="n">
        <x:f>'Forecast'!C$38</x:f>
        <x:v>4960</x:v>
      </x:c>
      <x:c r="D9" s="262" t="n">
        <x:f>'Forecast'!D$38</x:f>
        <x:v>6880</x:v>
      </x:c>
      <x:c r="E9" s="273" t="str">
        <x:v>relevant sessions</x:v>
      </x:c>
      <x:c r="F9" s="273" t="str">
        <x:v>Attribution working</x:v>
      </x:c>
      <x:c r="G9" s="273" t="str">
        <x:v>Marketing</x:v>
      </x:c>
      <x:c r="H9" s="273" t="str">
        <x:v>Treat as one channel, not the whole pipeline</x:v>
      </x:c>
      <x:c r="I9" s="240"/>
      <x:c r="J9" s="240"/>
    </x:row>
    <x:row r="10" ht="32" hidden="0" customHeight="1">
      <x:c r="A10" s="240" t="str">
        <x:v>Delivery hours</x:v>
      </x:c>
      <x:c r="B10" s="262" t="n">
        <x:f>'Forecast'!B$34</x:f>
        <x:v>862</x:v>
      </x:c>
      <x:c r="C10" s="262" t="n">
        <x:f>'Forecast'!C$34</x:f>
        <x:v>1522</x:v>
      </x:c>
      <x:c r="D10" s="262" t="n">
        <x:f>'Forecast'!D$34</x:f>
        <x:v>2226</x:v>
      </x:c>
      <x:c r="E10" s="273" t="str">
        <x:v>hours</x:v>
      </x:c>
      <x:c r="F10" s="273" t="str">
        <x:v>Signed backlog</x:v>
      </x:c>
      <x:c r="G10" s="273" t="str">
        <x:v>Delivery lead</x:v>
      </x:c>
      <x:c r="H10" s="273" t="str">
        <x:v>Weekly capacity board by project and milestone</x:v>
      </x:c>
      <x:c r="I10" s="240"/>
      <x:c r="J10" s="240"/>
    </x:row>
    <x:row r="11" ht="32" hidden="0" customHeight="1">
      <x:c r="A11" s="240" t="str">
        <x:v>Delivery FTE required</x:v>
      </x:c>
      <x:c r="B11" s="263" t="n">
        <x:f>'Forecast'!B$35</x:f>
        <x:v>0.7367521367521368</x:v>
      </x:c>
      <x:c r="C11" s="263" t="n">
        <x:f>'Forecast'!C$35</x:f>
        <x:v>1.300854700854701</x:v>
      </x:c>
      <x:c r="D11" s="263" t="n">
        <x:f>'Forecast'!D$35</x:f>
        <x:v>1.9025641025641025</x:v>
      </x:c>
      <x:c r="E11" s="273" t="str">
        <x:v>FTE</x:v>
      </x:c>
      <x:c r="F11" s="273" t="str">
        <x:v>&gt;0.85 for 8–12 weeks</x:v>
      </x:c>
      <x:c r="G11" s="273" t="str">
        <x:v>Founder</x:v>
      </x:c>
      <x:c r="H11" s="273" t="str">
        <x:v>Add contractor/employee capacity before service quality slips</x:v>
      </x:c>
      <x:c r="I11" s="240"/>
      <x:c r="J11" s="240"/>
    </x:row>
    <x:row r="12" ht="32" hidden="0" customHeight="1">
      <x:c r="A12" s="240" t="str">
        <x:v>Support exit run-rate</x:v>
      </x:c>
      <x:c r="B12" s="263" t="n">
        <x:f>'Assumptions'!J$12/12</x:f>
        <x:v>1.5</x:v>
      </x:c>
      <x:c r="C12" s="263" t="n">
        <x:f>'Assumptions'!K$12/12</x:f>
        <x:v>4</x:v>
      </x:c>
      <x:c r="D12" s="263" t="n">
        <x:f>'Assumptions'!L$12/12</x:f>
        <x:v>7</x:v>
      </x:c>
      <x:c r="E12" s="273" t="str">
        <x:v>accounts</x:v>
      </x:c>
      <x:c r="F12" s="273" t="str">
        <x:v>Three retained accounts</x:v>
      </x:c>
      <x:c r="G12" s="273" t="str">
        <x:v>Delivery lead</x:v>
      </x:c>
      <x:c r="H12" s="273" t="str">
        <x:v>Productise support only after repeatable handover</x:v>
      </x:c>
      <x:c r="I12" s="240"/>
      <x:c r="J12" s="240"/>
    </x:row>
    <x:row r="13" ht="32" hidden="0" customHeight="1">
      <x:c r="A13" s="240" t="str">
        <x:v>Support share of revenue</x:v>
      </x:c>
      <x:c r="B13" s="265" t="n">
        <x:f>('Assumptions'!J$12*'Assumptions'!$C$12)/B6</x:f>
        <x:v>0.12362637362637363</x:v>
      </x:c>
      <x:c r="C13" s="265" t="n">
        <x:f>('Assumptions'!K$12*'Assumptions'!$C$12)/C6</x:f>
        <x:v>0.18292682926829268</x:v>
      </x:c>
      <x:c r="D13" s="265" t="n">
        <x:f>('Assumptions'!L$12*'Assumptions'!$C$12)/D6</x:f>
        <x:v>0.21604938271604937</x:v>
      </x:c>
      <x:c r="E13" s="273" t="str">
        <x:v>%</x:v>
      </x:c>
      <x:c r="F13" s="273" t="str">
        <x:v>15–25% target range</x:v>
      </x:c>
      <x:c r="G13" s="273" t="str">
        <x:v>Founder</x:v>
      </x:c>
      <x:c r="H13" s="273" t="str">
        <x:v>Build recurring revenue without hiding project dependency</x:v>
      </x:c>
      <x:c r="I13" s="240"/>
      <x:c r="J13" s="240"/>
    </x:row>
    <x:row r="14">
      <x:c r="A14" s="240"/>
      <x:c r="B14" s="240"/>
      <x:c r="C14" s="240"/>
      <x:c r="D14" s="240"/>
      <x:c r="E14" s="240"/>
      <x:c r="F14" s="240"/>
      <x:c r="G14" s="240"/>
      <x:c r="H14" s="240"/>
      <x:c r="I14" s="240"/>
      <x:c r="J14" s="240"/>
    </x:row>
    <x:row r="15">
      <x:c r="A15" s="240"/>
      <x:c r="B15" s="240"/>
      <x:c r="C15" s="240"/>
      <x:c r="D15" s="240"/>
      <x:c r="E15" s="240"/>
      <x:c r="F15" s="240"/>
      <x:c r="G15" s="240"/>
      <x:c r="H15" s="240"/>
      <x:c r="I15" s="240"/>
      <x:c r="J15" s="240"/>
    </x:row>
    <x:row r="16" ht="15" hidden="0" customHeight="1">
      <x:c r="A16" s="11" t="str">
        <x:v>Recommended scale sequence</x:v>
      </x:c>
      <x:c r="B16" s="11" t="str">
        <x:v>Recommended scale sequence</x:v>
      </x:c>
      <x:c r="C16" s="11" t="str">
        <x:v>Recommended scale sequence</x:v>
      </x:c>
      <x:c r="D16" s="11" t="str">
        <x:v>Recommended scale sequence</x:v>
      </x:c>
      <x:c r="E16" s="11" t="str">
        <x:v>Recommended scale sequence</x:v>
      </x:c>
      <x:c r="F16" s="11" t="str">
        <x:v>Recommended scale sequence</x:v>
      </x:c>
      <x:c r="G16" s="11" t="str">
        <x:v>Recommended scale sequence</x:v>
      </x:c>
      <x:c r="H16" s="11" t="str">
        <x:v>Recommended scale sequence</x:v>
      </x:c>
      <x:c r="I16" s="240"/>
      <x:c r="J16" s="240"/>
    </x:row>
    <x:row r="17" ht="15" hidden="0" customHeight="1">
      <x:c r="A17" s="20" t="str">
        <x:v>Stage</x:v>
      </x:c>
      <x:c r="B17" s="21" t="str">
        <x:v>Revenue marker</x:v>
      </x:c>
      <x:c r="C17" s="21" t="str">
        <x:v>Capacity marker</x:v>
      </x:c>
      <x:c r="D17" s="21" t="str">
        <x:v>Commercial system</x:v>
      </x:c>
      <x:c r="E17" s="21" t="str">
        <x:v>Delivery system</x:v>
      </x:c>
      <x:c r="F17" s="21" t="str">
        <x:v>Hiring move</x:v>
      </x:c>
      <x:c r="G17" s="21" t="str">
        <x:v>Primary KPI</x:v>
      </x:c>
      <x:c r="H17" s="22" t="str">
        <x:v>Stop / go rule</x:v>
      </x:c>
      <x:c r="I17" s="240"/>
      <x:c r="J17" s="240"/>
    </x:row>
    <x:row r="18" ht="52" hidden="0" customHeight="1">
      <x:c r="A18" s="273" t="str">
        <x:v>0 — Ready the products</x:v>
      </x:c>
      <x:c r="B18" s="273" t="str">
        <x:v>$0–$50k</x:v>
      </x:c>
      <x:c r="C18" s="273" t="str">
        <x:v>Founder only</x:v>
      </x:c>
      <x:c r="D18" s="273" t="str">
        <x:v>Working form, CRM, scheduler, named trust, proof demo</x:v>
      </x:c>
      <x:c r="E18" s="273" t="str">
        <x:v>Three named products, bounded scope, acceptance criteria, handover</x:v>
      </x:c>
      <x:c r="F18" s="273" t="str">
        <x:v>None</x:v>
      </x:c>
      <x:c r="G18" s="273" t="str">
        <x:v>Qualified leads per 100 relevant visitors</x:v>
      </x:c>
      <x:c r="H18" s="273" t="str">
        <x:v>No launch until lead capture and trust blockers clear</x:v>
      </x:c>
      <x:c r="I18" s="240"/>
      <x:c r="J18" s="240"/>
    </x:row>
    <x:row r="19" ht="52" hidden="0" customHeight="1">
      <x:c r="A19" s="273" t="str">
        <x:v>1 — Prove repeatability</x:v>
      </x:c>
      <x:c r="B19" s="273" t="str">
        <x:v>$50k–$180k</x:v>
      </x:c>
      <x:c r="C19" s="273" t="str">
        <x:v>≤0.8 delivery FTE</x:v>
      </x:c>
      <x:c r="D19" s="273" t="str">
        <x:v>Founder-led referrals and outbound; 3–5 founding clients</x:v>
      </x:c>
      <x:c r="E19" s="273" t="str">
        <x:v>Heutrix Diagnostics template, QA checklist, reusable components</x:v>
      </x:c>
      <x:c r="F19" s="273" t="str">
        <x:v>Specialist contractors as needed</x:v>
      </x:c>
      <x:c r="G19" s="273" t="str">
        <x:v>Gross margin by product and scope</x:v>
      </x:c>
      <x:c r="H19" s="273" t="str">
        <x:v>Do not broaden verticals before two repeatable wins</x:v>
      </x:c>
      <x:c r="I19" s="240"/>
      <x:c r="J19" s="240"/>
    </x:row>
    <x:row r="20" ht="52" hidden="0" customHeight="1">
      <x:c r="A20" s="273" t="str">
        <x:v>2 — Build a delivery cell</x:v>
      </x:c>
      <x:c r="B20" s="273" t="str">
        <x:v>$180k–$350k</x:v>
      </x:c>
      <x:c r="C20" s="273" t="str">
        <x:v>0.85–1.4 delivery FTE</x:v>
      </x:c>
      <x:c r="D20" s="273" t="str">
        <x:v>Partner channel plus content/case studies</x:v>
      </x:c>
      <x:c r="E20" s="273" t="str">
        <x:v>Backlog, weekly utilisation, 30-day stabilisation</x:v>
      </x:c>
      <x:c r="F20" s="273" t="str">
        <x:v>First automation/implementation hire</x:v>
      </x:c>
      <x:c r="G20" s="273" t="str">
        <x:v>On-time acceptance + GM</x:v>
      </x:c>
      <x:c r="H20" s="273" t="str">
        <x:v>Hire on signed backlog, not forecast optimism</x:v>
      </x:c>
      <x:c r="I20" s="240"/>
      <x:c r="J20" s="240"/>
    </x:row>
    <x:row r="21" ht="52" hidden="0" customHeight="1">
      <x:c r="A21" s="273" t="str">
        <x:v>3 — Scale a focused engine</x:v>
      </x:c>
      <x:c r="B21" s="273" t="str">
        <x:v>$350k–$500k+</x:v>
      </x:c>
      <x:c r="C21" s="273" t="str">
        <x:v>1.5–2.0+ delivery FTE</x:v>
      </x:c>
      <x:c r="D21" s="273" t="str">
        <x:v>Qualified pipeline coverage, referral partners, selective search</x:v>
      </x:c>
      <x:c r="E21" s="273" t="str">
        <x:v>Two-person delivery pod, support tiers, QA owner</x:v>
      </x:c>
      <x:c r="F21" s="273" t="str">
        <x:v>Delivery lead then growth support</x:v>
      </x:c>
      <x:c r="G21" s="273" t="str">
        <x:v>90-day qualified pipeline / next-quarter target</x:v>
      </x:c>
      <x:c r="H21" s="273" t="str">
        <x:v>Add a second vertical only after stable margin and capacity</x:v>
      </x:c>
      <x:c r="I21" s="240"/>
      <x:c r="J21" s="240"/>
    </x:row>
    <x:row r="22"/>
    <x:row r="23"/>
  </x:sheetData>
  <x:mergeCells>
    <x:mergeCell ref="A1:J1"/>
    <x:mergeCell ref="A2:J3"/>
    <x:mergeCell ref="A16:H1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3" hidden="0" customWidth="1"/>
    <x:col min="6" max="6" width="13" hidden="0" customWidth="1"/>
    <x:col min="7" max="7" width="30" hidden="0" customWidth="1"/>
  </x:cols>
  <x:sheetData>
    <x:row r="1" ht="21.600000381469727" hidden="0" customHeight="1">
      <x:c r="A1" s="4" t="str">
        <x:v>Model Checks</x:v>
      </x:c>
      <x:c r="B1" s="4" t="str">
        <x:v>Model Checks</x:v>
      </x:c>
      <x:c r="C1" s="4" t="str">
        <x:v>Model Checks</x:v>
      </x:c>
      <x:c r="D1" s="4" t="str">
        <x:v>Model Checks</x:v>
      </x:c>
      <x:c r="E1" s="4" t="str">
        <x:v>Model Checks</x:v>
      </x:c>
      <x:c r="F1" s="4" t="str">
        <x:v>Model Checks</x:v>
      </x:c>
      <x:c r="G1" s="4" t="str">
        <x:v>Model Checks</x:v>
      </x:c>
    </x:row>
    <x:row r="2">
      <x:c r="A2" s="240"/>
      <x:c r="B2" s="240"/>
      <x:c r="C2" s="240"/>
      <x:c r="D2" s="240"/>
      <x:c r="E2" s="240"/>
      <x:c r="F2" s="240"/>
      <x:c r="G2" s="240"/>
    </x:row>
    <x:row r="3" ht="15" hidden="0" customHeight="1">
      <x:c r="A3" s="20" t="str">
        <x:v>Check</x:v>
      </x:c>
      <x:c r="B3" s="21" t="str">
        <x:v>Actual</x:v>
      </x:c>
      <x:c r="C3" s="21" t="str">
        <x:v>Expected</x:v>
      </x:c>
      <x:c r="D3" s="21" t="str">
        <x:v>Difference</x:v>
      </x:c>
      <x:c r="E3" s="21" t="str">
        <x:v>Tolerance</x:v>
      </x:c>
      <x:c r="F3" s="21" t="str">
        <x:v>Status</x:v>
      </x:c>
      <x:c r="G3" s="22" t="str">
        <x:v>Where to fix</x:v>
      </x:c>
    </x:row>
    <x:row r="4" ht="15" hidden="0" customHeight="1">
      <x:c r="A4" s="240" t="str">
        <x:v>Base Year 1 revenue ties to offer units</x:v>
      </x:c>
      <x:c r="B4" s="243" t="n">
        <x:f>'Forecast'!B26</x:f>
        <x:v>182000</x:v>
      </x:c>
      <x:c r="C4" s="243" t="n">
        <x:f>SUMPRODUCT('Assumptions'!$C$7:$C$12,'Assumptions'!$J$7:$J$12)</x:f>
        <x:v>182000</x:v>
      </x:c>
      <x:c r="D4" s="243" t="n">
        <x:f>B4-C4</x:f>
        <x:v>0</x:v>
      </x:c>
      <x:c r="E4" s="243" t="n">
        <x:v>1</x:v>
      </x:c>
      <x:c r="F4" s="240" t="str">
        <x:f>IF(ABS(D4)&lt;=E4,"OK","FAIL")</x:f>
        <x:v>OK</x:v>
      </x:c>
      <x:c r="G4" s="240" t="str">
        <x:v>Forecast / Assumptions</x:v>
      </x:c>
    </x:row>
    <x:row r="5" ht="15" hidden="0" customHeight="1">
      <x:c r="A5" s="240" t="str">
        <x:v>Base Year 3 revenue ties to offer units</x:v>
      </x:c>
      <x:c r="B5" s="243" t="n">
        <x:f>'Forecast'!D26</x:f>
        <x:v>486000</x:v>
      </x:c>
      <x:c r="C5" s="243" t="n">
        <x:f>SUMPRODUCT('Assumptions'!$C$7:$C$12,'Assumptions'!$L$7:$L$12)</x:f>
        <x:v>486000</x:v>
      </x:c>
      <x:c r="D5" s="243" t="n">
        <x:f>B5-C5</x:f>
        <x:v>0</x:v>
      </x:c>
      <x:c r="E5" s="243" t="n">
        <x:v>1</x:v>
      </x:c>
      <x:c r="F5" s="240" t="str">
        <x:f>IF(ABS(D5)&lt;=E5,"OK","FAIL")</x:f>
        <x:v>OK</x:v>
      </x:c>
      <x:c r="G5" s="240" t="str">
        <x:v>Forecast / Assumptions</x:v>
      </x:c>
    </x:row>
    <x:row r="6" ht="15" hidden="0" customHeight="1">
      <x:c r="A6" s="240" t="str">
        <x:v>Base Year 1 gross profit ties</x:v>
      </x:c>
      <x:c r="B6" s="243" t="n">
        <x:f>'Forecast'!B29</x:f>
        <x:v>112500</x:v>
      </x:c>
      <x:c r="C6" s="243" t="n">
        <x:f>'Forecast'!B26-'Forecast'!B28</x:f>
        <x:v>112500</x:v>
      </x:c>
      <x:c r="D6" s="243" t="n">
        <x:f>B6-C6</x:f>
        <x:v>0</x:v>
      </x:c>
      <x:c r="E6" s="243" t="n">
        <x:v>1</x:v>
      </x:c>
      <x:c r="F6" s="240" t="str">
        <x:f>IF(ABS(D6)&lt;=E6,"OK","FAIL")</x:f>
        <x:v>OK</x:v>
      </x:c>
      <x:c r="G6" s="240" t="str">
        <x:v>Forecast</x:v>
      </x:c>
    </x:row>
    <x:row r="7" ht="15" hidden="0" customHeight="1">
      <x:c r="A7" s="240" t="str">
        <x:v>Base Year 3 gross profit ties</x:v>
      </x:c>
      <x:c r="B7" s="243" t="n">
        <x:f>'Forecast'!D29</x:f>
        <x:v>305400</x:v>
      </x:c>
      <x:c r="C7" s="243" t="n">
        <x:f>'Forecast'!D26-'Forecast'!D28</x:f>
        <x:v>305400</x:v>
      </x:c>
      <x:c r="D7" s="243" t="n">
        <x:f>B7-C7</x:f>
        <x:v>0</x:v>
      </x:c>
      <x:c r="E7" s="243" t="n">
        <x:v>1</x:v>
      </x:c>
      <x:c r="F7" s="240" t="str">
        <x:f>IF(ABS(D7)&lt;=E7,"OK","FAIL")</x:f>
        <x:v>OK</x:v>
      </x:c>
      <x:c r="G7" s="240" t="str">
        <x:v>Forecast</x:v>
      </x:c>
    </x:row>
    <x:row r="8" ht="15" hidden="0" customHeight="1">
      <x:c r="A8" s="240" t="str">
        <x:v>Quarterly Year 1 revenue sums to annual</x:v>
      </x:c>
      <x:c r="B8" s="243" t="n">
        <x:f>SUM('Base Quarterly'!B7:E7)</x:f>
        <x:v>182000</x:v>
      </x:c>
      <x:c r="C8" s="243" t="n">
        <x:f>'Forecast'!B26</x:f>
        <x:v>182000</x:v>
      </x:c>
      <x:c r="D8" s="243" t="n">
        <x:f>B8-C8</x:f>
        <x:v>0</x:v>
      </x:c>
      <x:c r="E8" s="243" t="n">
        <x:v>1</x:v>
      </x:c>
      <x:c r="F8" s="240" t="str">
        <x:f>IF(ABS(D8)&lt;=E8,"OK","FAIL")</x:f>
        <x:v>OK</x:v>
      </x:c>
      <x:c r="G8" s="240" t="str">
        <x:v>Base Quarterly weights</x:v>
      </x:c>
    </x:row>
    <x:row r="9" ht="15" hidden="0" customHeight="1">
      <x:c r="A9" s="240" t="str">
        <x:v>Quarterly Year 2 revenue sums to annual</x:v>
      </x:c>
      <x:c r="B9" s="243" t="n">
        <x:f>SUM('Base Quarterly'!F7:I7)</x:f>
        <x:v>328000</x:v>
      </x:c>
      <x:c r="C9" s="243" t="n">
        <x:f>'Forecast'!C26</x:f>
        <x:v>328000</x:v>
      </x:c>
      <x:c r="D9" s="243" t="n">
        <x:f>B9-C9</x:f>
        <x:v>0</x:v>
      </x:c>
      <x:c r="E9" s="243" t="n">
        <x:v>1</x:v>
      </x:c>
      <x:c r="F9" s="240" t="str">
        <x:f>IF(ABS(D9)&lt;=E9,"OK","FAIL")</x:f>
        <x:v>OK</x:v>
      </x:c>
      <x:c r="G9" s="240" t="str">
        <x:v>Base Quarterly weights</x:v>
      </x:c>
    </x:row>
    <x:row r="10" ht="15" hidden="0" customHeight="1">
      <x:c r="A10" s="240" t="str">
        <x:v>Quarterly Year 3 revenue sums to annual</x:v>
      </x:c>
      <x:c r="B10" s="243" t="n">
        <x:f>SUM('Base Quarterly'!J7:M7)</x:f>
        <x:v>486000</x:v>
      </x:c>
      <x:c r="C10" s="243" t="n">
        <x:f>'Forecast'!D26</x:f>
        <x:v>486000</x:v>
      </x:c>
      <x:c r="D10" s="243" t="n">
        <x:f>B10-C10</x:f>
        <x:v>0</x:v>
      </x:c>
      <x:c r="E10" s="243" t="n">
        <x:v>1</x:v>
      </x:c>
      <x:c r="F10" s="240" t="str">
        <x:f>IF(ABS(D10)&lt;=E10,"OK","FAIL")</x:f>
        <x:v>OK</x:v>
      </x:c>
      <x:c r="G10" s="240" t="str">
        <x:v>Base Quarterly weights</x:v>
      </x:c>
    </x:row>
    <x:row r="11">
      <x:c r="A11" s="240"/>
      <x:c r="B11" s="240"/>
      <x:c r="C11" s="240"/>
      <x:c r="D11" s="240"/>
      <x:c r="E11" s="240"/>
      <x:c r="F11" s="240"/>
      <x:c r="G11" s="240"/>
    </x:row>
    <x:row r="12">
      <x:c r="A12" s="240"/>
      <x:c r="B12" s="240"/>
      <x:c r="C12" s="240"/>
      <x:c r="D12" s="240"/>
      <x:c r="E12" s="240"/>
      <x:c r="F12" s="240"/>
      <x:c r="G12" s="240"/>
    </x:row>
    <x:row r="13" ht="15" hidden="0" customHeight="1">
      <x:c r="A13" s="11" t="str">
        <x:v>Model status</x:v>
      </x:c>
      <x:c r="B13" s="11" t="str">
        <x:v>Model status</x:v>
      </x:c>
      <x:c r="C13" s="11" t="str">
        <x:v>Model status</x:v>
      </x:c>
      <x:c r="D13" s="11" t="str">
        <x:v>Model status</x:v>
      </x:c>
      <x:c r="E13" s="11" t="str">
        <x:v>Model status</x:v>
      </x:c>
      <x:c r="F13" s="11" t="str">
        <x:v>Model status</x:v>
      </x:c>
      <x:c r="G13" s="11" t="str">
        <x:v>Model status</x:v>
      </x:c>
    </x:row>
    <x:row r="14">
      <x:c r="A14" s="121" t="str">
        <x:f>IF(COUNTIF(F4:F10,"FAIL")=0,"MODEL STATUS: PASS","MODEL STATUS: FAIL")</x:f>
        <x:v>MODEL STATUS: PASS</x:v>
      </x:c>
      <x:c r="B14" s="121"/>
      <x:c r="C14" s="121"/>
      <x:c r="D14" s="239" t="str">
        <x:v>PASS means the formulas reconcile internally. It does not validate the commercial assumptions. Replace price, cost, close rate, traffic and delivery hours with observed data as it becomes available.</x:v>
      </x:c>
      <x:c r="E14" s="239"/>
      <x:c r="F14" s="239"/>
      <x:c r="G14" s="239"/>
    </x:row>
    <x:row r="15">
      <x:c r="A15" s="121"/>
      <x:c r="B15" s="121"/>
      <x:c r="C15" s="121"/>
      <x:c r="D15" s="239"/>
      <x:c r="E15" s="239"/>
      <x:c r="F15" s="239"/>
      <x:c r="G15" s="239"/>
    </x:row>
    <x:row r="16">
      <x:c r="A16" s="240"/>
      <x:c r="B16" s="240"/>
      <x:c r="C16" s="240"/>
      <x:c r="D16" s="239"/>
      <x:c r="E16" s="239"/>
      <x:c r="F16" s="239"/>
      <x:c r="G16" s="239"/>
    </x:row>
  </x:sheetData>
  <x:mergeCells>
    <x:mergeCell ref="A1:G1"/>
    <x:mergeCell ref="A13:G13"/>
    <x:mergeCell ref="A14:C15"/>
    <x:mergeCell ref="D14:G16"/>
  </x:mergeCells>
  <x:conditionalFormatting sqref="F4:F10">
    <x:cfRule type="containsText" dxfId="5" priority="1" operator="containsText" text="OK"/>
    <x:cfRule type="containsText" dxfId="6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34" hidden="0" customWidth="1"/>
    <x:col min="4" max="4" width="20" hidden="0" customWidth="1"/>
    <x:col min="5" max="5" width="18" hidden="0" customWidth="1"/>
    <x:col min="6" max="6" width="16" hidden="0" customWidth="1"/>
    <x:col min="7" max="7" width="30" hidden="0" customWidth="1"/>
    <x:col min="8" max="8" width="58" hidden="0" customWidth="1"/>
    <x:col min="9" max="9" width="38" hidden="0" customWidth="1"/>
  </x:cols>
  <x:sheetData>
    <x:row r="1" ht="21.600000381469727" hidden="0" customHeight="1">
      <x:c r="A1" s="4" t="str">
        <x:v>Sources and Audit Trail</x:v>
      </x:c>
      <x:c r="B1" s="4" t="str">
        <x:v>Sources and Audit Trail</x:v>
      </x:c>
      <x:c r="C1" s="4" t="str">
        <x:v>Sources and Audit Trail</x:v>
      </x:c>
      <x:c r="D1" s="4" t="str">
        <x:v>Sources and Audit Trail</x:v>
      </x:c>
      <x:c r="E1" s="4" t="str">
        <x:v>Sources and Audit Trail</x:v>
      </x:c>
      <x:c r="F1" s="4" t="str">
        <x:v>Sources and Audit Trail</x:v>
      </x:c>
      <x:c r="G1" s="4" t="str">
        <x:v>Sources and Audit Trail</x:v>
      </x:c>
      <x:c r="H1" s="4" t="str">
        <x:v>Sources and Audit Trail</x:v>
      </x:c>
      <x:c r="I1" s="4" t="str">
        <x:v>Sources and Audit Trail</x:v>
      </x:c>
    </x:row>
    <x:row r="2">
      <x:c r="A2" s="240"/>
      <x:c r="B2" s="240"/>
      <x:c r="C2" s="240"/>
      <x:c r="D2" s="240"/>
      <x:c r="E2" s="240"/>
      <x:c r="F2" s="240"/>
      <x:c r="G2" s="240"/>
      <x:c r="H2" s="240"/>
      <x:c r="I2" s="240"/>
    </x:row>
    <x:row r="3" ht="15" hidden="0" customHeight="1">
      <x:c r="A3" s="20" t="str">
        <x:v>ID</x:v>
      </x:c>
      <x:c r="B3" s="21" t="str">
        <x:v>Item</x:v>
      </x:c>
      <x:c r="C3" s="21" t="str">
        <x:v>Value / use</x:v>
      </x:c>
      <x:c r="D3" s="21" t="str">
        <x:v>Units</x:v>
      </x:c>
      <x:c r="E3" s="21" t="str">
        <x:v>Period / as-of</x:v>
      </x:c>
      <x:c r="F3" s="21" t="str">
        <x:v>Source type</x:v>
      </x:c>
      <x:c r="G3" s="21" t="str">
        <x:v>Source name</x:v>
      </x:c>
      <x:c r="H3" s="21" t="str">
        <x:v>Link / path</x:v>
      </x:c>
      <x:c r="I3" s="22" t="str">
        <x:v>Notes</x:v>
      </x:c>
    </x:row>
    <x:row r="4" ht="38" hidden="0" customHeight="1">
      <x:c r="A4" s="273" t="str">
        <x:v>L1</x:v>
      </x:c>
      <x:c r="B4" s="273" t="str">
        <x:v>Current proposal and launch review</x:v>
      </x:c>
      <x:c r="C4" s="273" t="str">
        <x:v>Offer, pricing and launch risks</x:v>
      </x:c>
      <x:c r="D4" s="273" t="str">
        <x:v>document</x:v>
      </x:c>
      <x:c r="E4" s="273" t="str">
        <x:v>2026-08-25</x:v>
      </x:c>
      <x:c r="F4" s="273" t="str">
        <x:v>Local</x:v>
      </x:c>
      <x:c r="G4" s="273" t="str">
        <x:v>HEUTRIX-LABS-LAUNCH-REVIEW.md</x:v>
      </x:c>
      <x:c r="H4" s="273" t="str">
        <x:v>C:\Users\CareBest\Documents\CareBest\heutrix-labs\HEUTRIX-LABS-LAUNCH-REVIEW.md</x:v>
      </x:c>
      <x:c r="I4" s="273" t="str">
        <x:v>Internal strategy source; recommendations are not market facts</x:v>
      </x:c>
    </x:row>
    <x:row r="5" ht="38" hidden="0" customHeight="1">
      <x:c r="A5" s="273" t="str">
        <x:v>L2</x:v>
      </x:c>
      <x:c r="B5" s="273" t="str">
        <x:v>Live website implementation</x:v>
      </x:c>
      <x:c r="C5" s="273" t="str">
        <x:v>Current pricing and form behaviour</x:v>
      </x:c>
      <x:c r="D5" s="273" t="str">
        <x:v>code</x:v>
      </x:c>
      <x:c r="E5" s="273" t="str">
        <x:v>reviewed 2026-08-26</x:v>
      </x:c>
      <x:c r="F5" s="273" t="str">
        <x:v>Local</x:v>
      </x:c>
      <x:c r="G5" s="273" t="str">
        <x:v>src/App.jsx</x:v>
      </x:c>
      <x:c r="H5" s="273" t="str">
        <x:v>C:\Users\CareBest\Documents\CareBest\heutrix-labs\src\App.jsx</x:v>
      </x:c>
      <x:c r="I5" s="273" t="str">
        <x:v>Form currently prevents default and shows success without transmitting</x:v>
      </x:c>
    </x:row>
    <x:row r="6" ht="38" hidden="0" customHeight="1">
      <x:c r="A6" s="273" t="str">
        <x:v>L3</x:v>
      </x:c>
      <x:c r="B6" s="273" t="str">
        <x:v>Website copy pack</x:v>
      </x:c>
      <x:c r="C6" s="273" t="str">
        <x:v>Positioning, audiences, services, boundaries</x:v>
      </x:c>
      <x:c r="D6" s="273" t="str">
        <x:v>content</x:v>
      </x:c>
      <x:c r="E6" s="273" t="str">
        <x:v>reviewed 2026-08-26</x:v>
      </x:c>
      <x:c r="F6" s="273" t="str">
        <x:v>Local</x:v>
      </x:c>
      <x:c r="G6" s="273" t="str">
        <x:v>website-copy</x:v>
      </x:c>
      <x:c r="H6" s="273" t="str">
        <x:v>C:\Users\CareBest\Documents\CareBest\heutrix-labs\website-copy</x:v>
      </x:c>
      <x:c r="I6" s="273" t="str">
        <x:v>Public-facing copy source</x:v>
      </x:c>
    </x:row>
    <x:row r="7" ht="38" hidden="0" customHeight="1">
      <x:c r="A7" s="273" t="str">
        <x:v>S1</x:v>
      </x:c>
      <x:c r="B7" s="273" t="str">
        <x:v>Allied health workforce</x:v>
      </x:c>
      <x:c r="C7" s="273" t="str">
        <x:v>~300,000</x:v>
      </x:c>
      <x:c r="D7" s="273" t="str">
        <x:v>professionals</x:v>
      </x:c>
      <x:c r="E7" s="273" t="str">
        <x:v>current page</x:v>
      </x:c>
      <x:c r="F7" s="273" t="str">
        <x:v>Official</x:v>
      </x:c>
      <x:c r="G7" s="273" t="str">
        <x:v>Australian Government Department of Health</x:v>
      </x:c>
      <x:c r="H7" s="273" t="str">
        <x:v>https://www.health.gov.au/topics/allied-health-care</x:v>
      </x:c>
      <x:c r="I7" s="273" t="str">
        <x:v>Headline workforce context</x:v>
      </x:c>
    </x:row>
    <x:row r="8" ht="38" hidden="0" customHeight="1">
      <x:c r="A8" s="273" t="str">
        <x:v>S2</x:v>
      </x:c>
      <x:c r="B8" s="273" t="str">
        <x:v>Allied Health Digital Transformation Survey</x:v>
      </x:c>
      <x:c r="C8" s="273" t="str">
        <x:v>2,419 respondents; size and digital-use shares</x:v>
      </x:c>
      <x:c r="D8" s="273" t="str">
        <x:v>survey</x:v>
      </x:c>
      <x:c r="E8" s="273" t="str">
        <x:v>2024</x:v>
      </x:c>
      <x:c r="F8" s="273" t="str">
        <x:v>Industry survey</x:v>
      </x:c>
      <x:c r="G8" s="273" t="str">
        <x:v>Allied Health Professions Australia</x:v>
      </x:c>
      <x:c r="H8" s="273" t="str">
        <x:v>https://www.ahpa.com.au/s/20250217_Allied_Health_Digital_Transformation_Survey_Report_FINAL.pdf</x:v>
      </x:c>
      <x:c r="I8" s="273" t="str">
        <x:v>Survey sample; not a census</x:v>
      </x:c>
    </x:row>
    <x:row r="9" ht="38" hidden="0" customHeight="1">
      <x:c r="A9" s="273" t="str">
        <x:v>S3</x:v>
      </x:c>
      <x:c r="B9" s="273" t="str">
        <x:v>NDIS quarterly appendices</x:v>
      </x:c>
      <x:c r="C9" s="273" t="str">
        <x:v>17,717 national; 6,622 Victoria</x:v>
      </x:c>
      <x:c r="D9" s="273" t="str">
        <x:v>active registered providers</x:v>
      </x:c>
      <x:c r="E9" s="273" t="str">
        <x:v>Mar 2026</x:v>
      </x:c>
      <x:c r="F9" s="273" t="str">
        <x:v>Official</x:v>
      </x:c>
      <x:c r="G9" s="273" t="str">
        <x:v>NDIS</x:v>
      </x:c>
      <x:c r="H9" s="273" t="str">
        <x:v>https://ndis.gov.au/media/8643/download?attachment=</x:v>
      </x:c>
      <x:c r="I9" s="273" t="str">
        <x:v>State counts reflect providers operating with participants in that state</x:v>
      </x:c>
    </x:row>
    <x:row r="10" ht="38" hidden="0" customHeight="1">
      <x:c r="A10" s="273" t="str">
        <x:v>S4</x:v>
      </x:c>
      <x:c r="B10" s="273" t="str">
        <x:v>NDIS quarterly appendices</x:v>
      </x:c>
      <x:c r="C10" s="273" t="str">
        <x:v>14,168 national; 5,267 Victoria</x:v>
      </x:c>
      <x:c r="D10" s="273" t="str">
        <x:v>active registered providers</x:v>
      </x:c>
      <x:c r="E10" s="273" t="str">
        <x:v>Jun 2024</x:v>
      </x:c>
      <x:c r="F10" s="273" t="str">
        <x:v>Official</x:v>
      </x:c>
      <x:c r="G10" s="273" t="str">
        <x:v>NDIS</x:v>
      </x:c>
      <x:c r="H10" s="273" t="str">
        <x:v>https://www.ndis.gov.au/media/7219/download?attachment=</x:v>
      </x:c>
      <x:c r="I10" s="273" t="str">
        <x:v>Not a clean growth series because methodology and reporting changed</x:v>
      </x:c>
    </x:row>
    <x:row r="11" ht="38" hidden="0" customHeight="1">
      <x:c r="A11" s="273" t="str">
        <x:v>S5</x:v>
      </x:c>
      <x:c r="B11" s="273" t="str">
        <x:v>Annual Financial Sustainability Report</x:v>
      </x:c>
      <x:c r="C11" s="273" t="str">
        <x:v>Scheme expense growth context</x:v>
      </x:c>
      <x:c r="D11" s="273" t="str">
        <x:v>%</x:v>
      </x:c>
      <x:c r="E11" s="273" t="str">
        <x:v>2024–25</x:v>
      </x:c>
      <x:c r="F11" s="273" t="str">
        <x:v>Official</x:v>
      </x:c>
      <x:c r="G11" s="273" t="str">
        <x:v>NDIS</x:v>
      </x:c>
      <x:c r="H11" s="273" t="str">
        <x:v>https://ndis.gov.au/media/8183/download?attachment=</x:v>
      </x:c>
      <x:c r="I11" s="273" t="str">
        <x:v>Sector spend is not a Heutrix forecast driver</x:v>
      </x:c>
    </x:row>
    <x:row r="12" ht="38" hidden="0" customHeight="1">
      <x:c r="A12" s="273" t="str">
        <x:v>S6</x:v>
      </x:c>
      <x:c r="B12" s="273" t="str">
        <x:v>State of the Disability Sector</x:v>
      </x:c>
      <x:c r="C12" s="273" t="str">
        <x:v>Provider sustainability pressure</x:v>
      </x:c>
      <x:c r="D12" s="273" t="str">
        <x:v>survey</x:v>
      </x:c>
      <x:c r="E12" s="273" t="str">
        <x:v>2025</x:v>
      </x:c>
      <x:c r="F12" s="273" t="str">
        <x:v>Peak body</x:v>
      </x:c>
      <x:c r="G12" s="273" t="str">
        <x:v>National Disability Services</x:v>
      </x:c>
      <x:c r="H12" s="273" t="str">
        <x:v>https://staging.nds.org.au/insights/publications-and-reports/state-of-the-disability-sector-report/</x:v>
      </x:c>
      <x:c r="I12" s="273" t="str">
        <x:v>Use as industry sentiment, not official population evidence</x:v>
      </x:c>
    </x:row>
    <x:row r="13" ht="38" hidden="0" customHeight="1">
      <x:c r="A13" s="273" t="str">
        <x:v>C1</x:v>
      </x:c>
      <x:c r="B13" s="273" t="str">
        <x:v>Competitor positioning and pricing</x:v>
      </x:c>
      <x:c r="C13" s="273" t="str">
        <x:v>$1.5k assessment; $3k–$30k+ builds; support from $750/month</x:v>
      </x:c>
      <x:c r="D13" s="273" t="str">
        <x:v>$</x:v>
      </x:c>
      <x:c r="E13" s="273" t="str">
        <x:v>reviewed 2026-08-26</x:v>
      </x:c>
      <x:c r="F13" s="273" t="str">
        <x:v>Competitor</x:v>
      </x:c>
      <x:c r="G13" s="273" t="str">
        <x:v>Chater Consulting</x:v>
      </x:c>
      <x:c r="H13" s="273" t="str">
        <x:v>https://www.chaterconsulting.com.au/</x:v>
      </x:c>
      <x:c r="I13" s="273" t="str">
        <x:v>Claims are competitor-reported</x:v>
      </x:c>
    </x:row>
    <x:row r="14" ht="38" hidden="0" customHeight="1">
      <x:c r="A14" s="273" t="str">
        <x:v>C2</x:v>
      </x:c>
      <x:c r="B14" s="273" t="str">
        <x:v>Competitor service architecture</x:v>
      </x:c>
      <x:c r="C14" s="273" t="str">
        <x:v>Paid discovery / phased delivery / system implementation</x:v>
      </x:c>
      <x:c r="D14" s="273" t="str">
        <x:v>offers</x:v>
      </x:c>
      <x:c r="E14" s="273" t="str">
        <x:v>reviewed 2026-08-26</x:v>
      </x:c>
      <x:c r="F14" s="273" t="str">
        <x:v>Competitor</x:v>
      </x:c>
      <x:c r="G14" s="273" t="str">
        <x:v>Mavat</x:v>
      </x:c>
      <x:c r="H14" s="273" t="str">
        <x:v>https://mavat.com.au/industries/allied-health-ndis</x:v>
      </x:c>
      <x:c r="I14" s="273" t="str">
        <x:v>Strong named-founder and handover positioning</x:v>
      </x:c>
    </x:row>
    <x:row r="15" ht="38" hidden="0" customHeight="1">
      <x:c r="A15" s="273" t="str">
        <x:v>C3</x:v>
      </x:c>
      <x:c r="B15" s="273" t="str">
        <x:v>Competitor delivery benchmark</x:v>
      </x:c>
      <x:c r="C15" s="273" t="str">
        <x:v>4–6 week workflow delivery</x:v>
      </x:c>
      <x:c r="D15" s="273" t="str">
        <x:v>weeks</x:v>
      </x:c>
      <x:c r="E15" s="273" t="str">
        <x:v>reviewed 2026-08-26</x:v>
      </x:c>
      <x:c r="F15" s="273" t="str">
        <x:v>Competitor</x:v>
      </x:c>
      <x:c r="G15" s="273" t="str">
        <x:v>Aivy</x:v>
      </x:c>
      <x:c r="H15" s="273" t="str">
        <x:v>https://aivy.com.au/industries/ndis-providers/</x:v>
      </x:c>
      <x:c r="I15" s="273" t="str">
        <x:v>Claims are competitor-reported</x:v>
      </x:c>
    </x:row>
  </x:sheetData>
  <x:mergeCells>
    <x:mergeCell ref="A1:I1"/>
  </x:mergeCells>
  <x:pageMargins left="0.7" right="0.7" top="0.75" bottom="0.75" header="0.3" footer="0.3"/>
</x:worksheet>
</file>