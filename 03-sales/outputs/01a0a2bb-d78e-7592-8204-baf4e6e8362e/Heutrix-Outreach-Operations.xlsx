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bdc346606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asures" sheetId="1" r:id="R42c8f303e9024e79"/>
    <x:sheet xmlns:r="http://schemas.openxmlformats.org/officeDocument/2006/relationships" name="Activity log" sheetId="2" r:id="R00e6e2972a9e48a6"/>
    <x:sheet xmlns:r="http://schemas.openxmlformats.org/officeDocument/2006/relationships" name="Prospects" sheetId="3" r:id="Rf5b970b6e673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dd mmm"/>
    <x:numFmt numFmtId="202" formatCode="#,##0"/>
    <x:numFmt numFmtId="203" formatCode="dd/mm/yy"/>
  </x:numFmts>
  <x:fonts count="9">
    <x:font>
      <x:sz val="11"/>
      <x:name val="Carlito"/>
    </x:font>
    <x:font>
      <x:sz val="11"/>
      <x:color rgb="FF0F172A"/>
      <x:name val="Arial"/>
    </x:font>
    <x:font>
      <x:b/>
      <x:sz val="16"/>
      <x:color rgb="FF0F172A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0F172A"/>
      <x:name val="Arial"/>
    </x:font>
    <x:font>
      <x:b/>
      <x:sz val="16"/>
      <x:color rgb="FF033862"/>
      <x:name val="Arial"/>
    </x:font>
    <x:font>
      <x:sz val="11"/>
      <x:color rgb="FF033862"/>
      <x:name val="Arial"/>
    </x:font>
    <x:font>
      <x:b/>
      <x:sz val="11"/>
      <x:color rgb="FF03386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FFBEB"/>
      </x:patternFill>
    </x:fill>
    <x:fill>
      <x:patternFill patternType="solid">
        <x:fgColor rgb="FFF1F5F9"/>
      </x:patternFill>
    </x:fill>
    <x:fill>
      <x:patternFill patternType="solid">
        <x:fgColor rgb="FF033862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horizontal="right" vertical="center"/>
    </x:xf>
    <x:xf numFmtId="0" fontId="8" fillId="4" borderId="0" xfId="0" applyNumberFormat="1" applyFont="1" applyFill="1" applyBorder="1" applyAlignment="1">
      <x:alignment vertical="center"/>
    </x:xf>
    <x:xf numFmtId="202" fontId="7" fillId="4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vertical="center" wrapText="0"/>
    </x:xf>
    <x:xf numFmtId="0" fontId="7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vertical="center"/>
    </x:xf>
    <x:xf numFmtId="203" fontId="7" fillId="5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965de80a443cf" /><Relationship Type="http://schemas.openxmlformats.org/officeDocument/2006/relationships/theme" Target="/xl/theme/theme1.xml" Id="R6409bb0b2d1a407f" /><Relationship Type="http://schemas.openxmlformats.org/officeDocument/2006/relationships/sharedStrings" Target="/xl/sharedStrings.xml" Id="Rac5624b9ee5b4fd4" /><Relationship Type="http://schemas.openxmlformats.org/officeDocument/2006/relationships/worksheet" Target="/xl/worksheets/sheet1.xml" Id="R42c8f303e9024e79" /><Relationship Type="http://schemas.openxmlformats.org/officeDocument/2006/relationships/worksheet" Target="/xl/worksheets/sheet2.xml" Id="R00e6e2972a9e48a6" /><Relationship Type="http://schemas.openxmlformats.org/officeDocument/2006/relationships/worksheet" Target="/xl/worksheets/sheet3.xml" Id="Rf5b970b6e67348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da798ab25d14bec" /></Relationships>
</file>

<file path=xl/drawings/drawing1.xml><?xml version="1.0" encoding="utf-8"?>
<xdr:wsDr xmlns:xdr="http://schemas.openxmlformats.org/drawingml/2006/spreadsheetDrawing">
  <xdr:oneCellAnchor>
    <xdr:from>
      <xdr:col>1</xdr:col>
      <xdr:colOff>76200</xdr:colOff>
      <xdr:row>0</xdr:row>
      <xdr:rowOff>76200</xdr:rowOff>
    </xdr:from>
    <xdr:ext cx="1524000" cy="414655"/>
    <xdr:pic>
      <xdr:nvPicPr>
        <xdr:cNvPr id="1" name="12c3cd08-0065-48ea-a385-e37189d1f0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798ab25d1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OutreachEvents" displayName="OutreachEvents" ref="A7:V257" headerRowCount="1" totalsRowCount="0" totalsRowShown="0">
  <x:tableColumns count="22">
    <x:tableColumn id="1" name="Record ID"/>
    <x:tableColumn id="2" name="Sydney date"/>
    <x:tableColumn id="3" name="Organisation ID"/>
    <x:tableColumn id="4" name="Contact token"/>
    <x:tableColumn id="5" name="Audience"/>
    <x:tableColumn id="6" name="Relationship origin"/>
    <x:tableColumn id="7" name="Delivery channel"/>
    <x:tableColumn id="8" name="Event type"/>
    <x:tableColumn id="9" name="Message version"/>
    <x:tableColumn id="10" name="Fit decision"/>
    <x:tableColumn id="11" name="Product route"/>
    <x:tableColumn id="12" name="Reason code"/>
    <x:tableColumn id="13" name="Next action"/>
    <x:tableColumn id="14" name="Action owner"/>
    <x:tableColumn id="15" name="Due date"/>
    <x:tableColumn id="16" name="Evidence reference"/>
    <x:tableColumn id="17" name="Counting key"/>
    <x:tableColumn id="18" name="Counted event"/>
    <x:tableColumn id="19" name="Input status"/>
    <x:tableColumn id="20" name="Permission status"/>
    <x:tableColumn id="21" name="Permission scope"/>
    <x:tableColumn id="22" name="Permission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derResearch" displayName="ProviderResearch" ref="B6:L16" headerRowCount="1" totalsRowCount="0" totalsRowShown="0">
  <x:tableColumns count="11">
    <x:tableColumn id="1" name="ID"/>
    <x:tableColumn id="2" name="Organisation"/>
    <x:tableColumn id="3" name="Public location"/>
    <x:tableColumn id="4" name="Observed business signal"/>
    <x:tableColumn id="5" name="Workflow question (hypothesis)"/>
    <x:tableColumn id="6" name="Suggested role (unverified)"/>
    <x:tableColumn id="7" name="Focus"/>
    <x:tableColumn id="8" name="Permission"/>
    <x:tableColumn id="9" name="Source checked"/>
    <x:tableColumn id="10" name="Source URL"/>
    <x:tableColumn id="11" name="Addition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ca3ae3c74d4f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bd2e980fec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5ae29ea58f4fbf" /></Relationships>
</file>

<file path=xl/worksheets/sheet1.xml><?xml version="1.0" encoding="utf-8"?>
<x:worksheet xmlns:x="http://schemas.openxmlformats.org/spreadsheetml/2006/main">
  <x:sheetPr>
    <x:tabColor rgb="FF0F172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" hidden="0" customWidth="1"/>
    <x:col min="8" max="8" width="49" hidden="0" customWidth="1"/>
    <x:col min="9" max="9" width="27" hidden="0" customWidth="1"/>
  </x:cols>
  <x:sheetData>
    <x:row r="1" ht="44" customHeight="1"/>
    <x:row r="2" ht="23" customHeight="1">
      <x:c r="B2" s="29" t="str">
        <x:v>Heutrix weekly outreach measures</x:v>
      </x:c>
      <x:c r="C2" s="30"/>
      <x:c r="D2" s="30"/>
      <x:c r="E2" s="30"/>
      <x:c r="F2" s="30"/>
      <x:c r="G2" s="30"/>
      <x:c r="H2" s="30"/>
      <x:c r="I2" s="30"/>
    </x:row>
    <x:row r="3" ht="23" customHeight="1">
      <x:c r="B3" s="4" t="str">
        <x:v>Initial campaign baseline. Current week is partial; future weeks are unreviewed.</x:v>
      </x:c>
      <x:c r="C3" s="30"/>
      <x:c r="D3" s="30"/>
      <x:c r="E3" s="30"/>
      <x:c r="F3" s="30"/>
      <x:c r="G3" s="30"/>
      <x:c r="H3" s="30"/>
      <x:c r="I3" s="30"/>
    </x:row>
    <x:row r="4" ht="23" customHeight="1">
      <x:c r="B4" s="30"/>
      <x:c r="C4" s="30"/>
      <x:c r="D4" s="30"/>
      <x:c r="E4" s="30"/>
      <x:c r="F4" s="30"/>
      <x:c r="G4" s="30"/>
      <x:c r="H4" s="30"/>
      <x:c r="I4" s="30"/>
    </x:row>
    <x:row r="5" ht="23" customHeight="1">
      <x:c r="B5" s="30" t="str">
        <x:v>Review through (Sydney date)</x:v>
      </x:c>
      <x:c r="C5" s="31" t="n">
        <x:v>46280</x:v>
      </x:c>
      <x:c r="D5" s="30"/>
      <x:c r="E5" s="30"/>
      <x:c r="F5" s="30"/>
      <x:c r="G5" s="30"/>
      <x:c r="H5" s="30"/>
      <x:c r="I5" s="30"/>
    </x:row>
    <x:row r="6" ht="23" customHeight="1">
      <x:c r="B6" s="30" t="str">
        <x:v>Week starting Monday</x:v>
      </x:c>
      <x:c r="C6" s="32" t="n">
        <x:v>46279</x:v>
      </x:c>
      <x:c r="D6" s="32" t="n">
        <x:v>46286</x:v>
      </x:c>
      <x:c r="E6" s="32" t="n">
        <x:v>46293</x:v>
      </x:c>
      <x:c r="F6" s="32" t="n">
        <x:v>46300</x:v>
      </x:c>
      <x:c r="G6" s="30"/>
      <x:c r="H6" s="30"/>
      <x:c r="I6" s="30"/>
    </x:row>
    <x:row r="7" ht="34" customHeight="1">
      <x:c r="B7" s="30" t="str">
        <x:v>Coverage</x:v>
      </x:c>
      <x:c r="C7" s="33" t="str">
        <x:v>Baseline confirmed</x:v>
      </x:c>
      <x:c r="D7" s="33" t="str">
        <x:v>Not reviewed</x:v>
      </x:c>
      <x:c r="E7" s="33" t="str">
        <x:v>Not reviewed</x:v>
      </x:c>
      <x:c r="F7" s="33" t="str">
        <x:v>Not reviewed</x:v>
      </x:c>
      <x:c r="G7" s="30"/>
      <x:c r="H7" s="30"/>
      <x:c r="I7" s="30"/>
    </x:row>
    <x:row r="8" ht="42" customHeight="1">
      <x:c r="B8" s="34" t="str">
        <x:v>Metric</x:v>
      </x:c>
      <x:c r="C8" s="34" t="str">
        <x:v>Week 1</x:v>
      </x:c>
      <x:c r="D8" s="34" t="str">
        <x:v>Week 2</x:v>
      </x:c>
      <x:c r="E8" s="34" t="str">
        <x:v>Week 3</x:v>
      </x:c>
      <x:c r="F8" s="34" t="str">
        <x:v>Week 4</x:v>
      </x:c>
      <x:c r="G8" s="30"/>
      <x:c r="H8" s="35" t="str">
        <x:v>Operating guide</x:v>
      </x:c>
      <x:c r="I8" s="30" t="str"/>
    </x:row>
    <x:row r="9" ht="23" customHeight="1">
      <x:c r="B9" s="30" t="str">
        <x:v>Suitable organisations researched</x:v>
      </x:c>
      <x:c r="C9" s="36" t="n">
        <x:f>IF(C$7="Not reviewed","",SUMIFS('Activity log'!$R$8:$R$257,'Activity log'!$H$8:$H$257,"Research",'Activity log'!$B$8:$B$257,"&gt;="&amp;C$6,'Activity log'!$B$8:$B$257,"&lt;"&amp;C$6+7,'Activity log'!$B$8:$B$257,"&lt;"&amp;$C$5+1))</x:f>
        <x:v>10</x:v>
      </x:c>
      <x:c r="D9" s="36" t="str">
        <x:f>IF(D$7="Not reviewed","",SUMIFS('Activity log'!$R$8:$R$257,'Activity log'!$H$8:$H$257,"Research",'Activity log'!$B$8:$B$257,"&gt;="&amp;D$6,'Activity log'!$B$8:$B$257,"&lt;"&amp;D$6+7,'Activity log'!$B$8:$B$257,"&lt;"&amp;$C$5+1))</x:f>
      </x:c>
      <x:c r="E9" s="36" t="str">
        <x:f>IF(E$7="Not reviewed","",SUMIFS('Activity log'!$R$8:$R$257,'Activity log'!$H$8:$H$257,"Research",'Activity log'!$B$8:$B$257,"&gt;="&amp;E$6,'Activity log'!$B$8:$B$257,"&lt;"&amp;E$6+7,'Activity log'!$B$8:$B$257,"&lt;"&amp;$C$5+1))</x:f>
      </x:c>
      <x:c r="F9" s="36" t="str">
        <x:f>IF(F$7="Not reviewed","",SUMIFS('Activity log'!$R$8:$R$257,'Activity log'!$H$8:$H$257,"Research",'Activity log'!$B$8:$B$257,"&gt;="&amp;F$6,'Activity log'!$B$8:$B$257,"&lt;"&amp;F$6+7,'Activity log'!$B$8:$B$257,"&lt;"&amp;$C$5+1))</x:f>
      </x:c>
      <x:c r="G9" s="30"/>
      <x:c r="H9" s="30" t="str">
        <x:v>Initial research batch</x:v>
      </x:c>
      <x:c r="I9" s="30" t="n">
        <x:v>10</x:v>
      </x:c>
    </x:row>
    <x:row r="10" ht="23" customHeight="1">
      <x:c r="B10" s="30" t="str">
        <x:v>Buyer first contacts sent</x:v>
      </x:c>
      <x:c r="C10" s="36" t="n">
        <x:f>IF(C$7="Not reviewed","",SUMIFS('Activity log'!$R$8:$R$257,'Activity log'!$H$8:$H$257,"First contact",'Activity log'!$B$8:$B$257,"&gt;="&amp;C$6,'Activity log'!$B$8:$B$257,"&lt;"&amp;C$6+7,'Activity log'!$B$8:$B$257,"&lt;"&amp;$C$5+1,'Activity log'!$E$8:$E$257,"Buyer"))</x:f>
        <x:v>0</x:v>
      </x:c>
      <x:c r="D10" s="36" t="str">
        <x:f>IF(D$7="Not reviewed","",SUMIFS('Activity log'!$R$8:$R$257,'Activity log'!$H$8:$H$257,"First contact",'Activity log'!$B$8:$B$257,"&gt;="&amp;D$6,'Activity log'!$B$8:$B$257,"&lt;"&amp;D$6+7,'Activity log'!$B$8:$B$257,"&lt;"&amp;$C$5+1,'Activity log'!$E$8:$E$257,"Buyer"))</x:f>
      </x:c>
      <x:c r="E10" s="36" t="str">
        <x:f>IF(E$7="Not reviewed","",SUMIFS('Activity log'!$R$8:$R$257,'Activity log'!$H$8:$H$257,"First contact",'Activity log'!$B$8:$B$257,"&gt;="&amp;E$6,'Activity log'!$B$8:$B$257,"&lt;"&amp;E$6+7,'Activity log'!$B$8:$B$257,"&lt;"&amp;$C$5+1,'Activity log'!$E$8:$E$257,"Buyer"))</x:f>
      </x:c>
      <x:c r="F10" s="36" t="str">
        <x:f>IF(F$7="Not reviewed","",SUMIFS('Activity log'!$R$8:$R$257,'Activity log'!$H$8:$H$257,"First contact",'Activity log'!$B$8:$B$257,"&gt;="&amp;F$6,'Activity log'!$B$8:$B$257,"&lt;"&amp;F$6+7,'Activity log'!$B$8:$B$257,"&lt;"&amp;$C$5+1,'Activity log'!$E$8:$E$257,"Buyer"))</x:f>
      </x:c>
      <x:c r="G10" s="30"/>
      <x:c r="H10" s="30" t="str">
        <x:v>Weekly research ceiling</x:v>
      </x:c>
      <x:c r="I10" s="30" t="n">
        <x:v>20</x:v>
      </x:c>
    </x:row>
    <x:row r="11" ht="23" customHeight="1">
      <x:c r="B11" s="30" t="str">
        <x:v>Partner first contacts sent</x:v>
      </x:c>
      <x:c r="C11" s="36" t="n">
        <x:f>IF(C$7="Not reviewed","",SUMIFS('Activity log'!$R$8:$R$257,'Activity log'!$H$8:$H$257,"First contact",'Activity log'!$B$8:$B$257,"&gt;="&amp;C$6,'Activity log'!$B$8:$B$257,"&lt;"&amp;C$6+7,'Activity log'!$B$8:$B$257,"&lt;"&amp;$C$5+1,'Activity log'!$E$8:$E$257,"Partner"))</x:f>
        <x:v>0</x:v>
      </x:c>
      <x:c r="D11" s="36" t="str">
        <x:f>IF(D$7="Not reviewed","",SUMIFS('Activity log'!$R$8:$R$257,'Activity log'!$H$8:$H$257,"First contact",'Activity log'!$B$8:$B$257,"&gt;="&amp;D$6,'Activity log'!$B$8:$B$257,"&lt;"&amp;D$6+7,'Activity log'!$B$8:$B$257,"&lt;"&amp;$C$5+1,'Activity log'!$E$8:$E$257,"Partner"))</x:f>
      </x:c>
      <x:c r="E11" s="36" t="str">
        <x:f>IF(E$7="Not reviewed","",SUMIFS('Activity log'!$R$8:$R$257,'Activity log'!$H$8:$H$257,"First contact",'Activity log'!$B$8:$B$257,"&gt;="&amp;E$6,'Activity log'!$B$8:$B$257,"&lt;"&amp;E$6+7,'Activity log'!$B$8:$B$257,"&lt;"&amp;$C$5+1,'Activity log'!$E$8:$E$257,"Partner"))</x:f>
      </x:c>
      <x:c r="F11" s="36" t="str">
        <x:f>IF(F$7="Not reviewed","",SUMIFS('Activity log'!$R$8:$R$257,'Activity log'!$H$8:$H$257,"First contact",'Activity log'!$B$8:$B$257,"&gt;="&amp;F$6,'Activity log'!$B$8:$B$257,"&lt;"&amp;F$6+7,'Activity log'!$B$8:$B$257,"&lt;"&amp;$C$5+1,'Activity log'!$E$8:$E$257,"Partner"))</x:f>
      </x:c>
      <x:c r="G11" s="30"/>
      <x:c r="H11" s="30" t="str">
        <x:v>Weekly first-contact ceiling</x:v>
      </x:c>
      <x:c r="I11" s="30" t="n">
        <x:v>10</x:v>
      </x:c>
    </x:row>
    <x:row r="12" ht="23" customHeight="1">
      <x:c r="B12" s="30" t="str">
        <x:v>All first contacts sent</x:v>
      </x:c>
      <x:c r="C12" s="36" t="n">
        <x:f>IF(C$7="Not reviewed","",SUM(C10:C11))</x:f>
        <x:v>0</x:v>
      </x:c>
      <x:c r="D12" s="36" t="str">
        <x:f>IF(D$7="Not reviewed","",SUM(D10:D11))</x:f>
      </x:c>
      <x:c r="E12" s="36" t="str">
        <x:f>IF(E$7="Not reviewed","",SUM(E10:E11))</x:f>
      </x:c>
      <x:c r="F12" s="36" t="str">
        <x:f>IF(F$7="Not reviewed","",SUM(F10:F11))</x:f>
      </x:c>
      <x:c r="G12" s="30"/>
      <x:c r="H12" s="30" t="str">
        <x:v>Partners included in ceiling</x:v>
      </x:c>
      <x:c r="I12" s="30" t="n">
        <x:v>2</x:v>
      </x:c>
    </x:row>
    <x:row r="13" ht="23" customHeight="1">
      <x:c r="B13" s="30" t="str">
        <x:v>Buyer replies</x:v>
      </x:c>
      <x:c r="C13" s="36" t="n">
        <x:f>IF(C$7="Not reviewed","",SUMIFS('Activity log'!$R$8:$R$257,'Activity log'!$H$8:$H$257,"Reply",'Activity log'!$B$8:$B$257,"&gt;="&amp;C$6,'Activity log'!$B$8:$B$257,"&lt;"&amp;C$6+7,'Activity log'!$B$8:$B$257,"&lt;"&amp;$C$5+1,'Activity log'!$E$8:$E$257,"Buyer"))</x:f>
        <x:v>0</x:v>
      </x:c>
      <x:c r="D13" s="36" t="str">
        <x:f>IF(D$7="Not reviewed","",SUMIFS('Activity log'!$R$8:$R$257,'Activity log'!$H$8:$H$257,"Reply",'Activity log'!$B$8:$B$257,"&gt;="&amp;D$6,'Activity log'!$B$8:$B$257,"&lt;"&amp;D$6+7,'Activity log'!$B$8:$B$257,"&lt;"&amp;$C$5+1,'Activity log'!$E$8:$E$257,"Buyer"))</x:f>
      </x:c>
      <x:c r="E13" s="36" t="str">
        <x:f>IF(E$7="Not reviewed","",SUMIFS('Activity log'!$R$8:$R$257,'Activity log'!$H$8:$H$257,"Reply",'Activity log'!$B$8:$B$257,"&gt;="&amp;E$6,'Activity log'!$B$8:$B$257,"&lt;"&amp;E$6+7,'Activity log'!$B$8:$B$257,"&lt;"&amp;$C$5+1,'Activity log'!$E$8:$E$257,"Buyer"))</x:f>
      </x:c>
      <x:c r="F13" s="36" t="str">
        <x:f>IF(F$7="Not reviewed","",SUMIFS('Activity log'!$R$8:$R$257,'Activity log'!$H$8:$H$257,"Reply",'Activity log'!$B$8:$B$257,"&gt;="&amp;F$6,'Activity log'!$B$8:$B$257,"&lt;"&amp;F$6+7,'Activity log'!$B$8:$B$257,"&lt;"&amp;$C$5+1,'Activity log'!$E$8:$E$257,"Buyer"))</x:f>
      </x:c>
      <x:c r="G13" s="30"/>
      <x:c r="H13" s="30" t="str">
        <x:v>Permissions at 15 Sep baseline</x:v>
      </x:c>
      <x:c r="I13" s="30" t="n">
        <x:v>0</x:v>
      </x:c>
    </x:row>
    <x:row r="14" ht="23" customHeight="1">
      <x:c r="B14" s="30" t="str">
        <x:v>Buyer positive replies</x:v>
      </x:c>
      <x:c r="C14" s="36" t="n">
        <x:f>IF(C$7="Not reviewed","",SUMIFS('Activity log'!$R$8:$R$257,'Activity log'!$H$8:$H$257,"Positive reply",'Activity log'!$B$8:$B$257,"&gt;="&amp;C$6,'Activity log'!$B$8:$B$257,"&lt;"&amp;C$6+7,'Activity log'!$B$8:$B$257,"&lt;"&amp;$C$5+1,'Activity log'!$E$8:$E$257,"Buyer"))</x:f>
        <x:v>0</x:v>
      </x:c>
      <x:c r="D14" s="36" t="str">
        <x:f>IF(D$7="Not reviewed","",SUMIFS('Activity log'!$R$8:$R$257,'Activity log'!$H$8:$H$257,"Positive reply",'Activity log'!$B$8:$B$257,"&gt;="&amp;D$6,'Activity log'!$B$8:$B$257,"&lt;"&amp;D$6+7,'Activity log'!$B$8:$B$257,"&lt;"&amp;$C$5+1,'Activity log'!$E$8:$E$257,"Buyer"))</x:f>
      </x:c>
      <x:c r="E14" s="36" t="str">
        <x:f>IF(E$7="Not reviewed","",SUMIFS('Activity log'!$R$8:$R$257,'Activity log'!$H$8:$H$257,"Positive reply",'Activity log'!$B$8:$B$257,"&gt;="&amp;E$6,'Activity log'!$B$8:$B$257,"&lt;"&amp;E$6+7,'Activity log'!$B$8:$B$257,"&lt;"&amp;$C$5+1,'Activity log'!$E$8:$E$257,"Buyer"))</x:f>
      </x:c>
      <x:c r="F14" s="36" t="str">
        <x:f>IF(F$7="Not reviewed","",SUMIFS('Activity log'!$R$8:$R$257,'Activity log'!$H$8:$H$257,"Positive reply",'Activity log'!$B$8:$B$257,"&gt;="&amp;F$6,'Activity log'!$B$8:$B$257,"&lt;"&amp;F$6+7,'Activity log'!$B$8:$B$257,"&lt;"&amp;$C$5+1,'Activity log'!$E$8:$E$257,"Buyer"))</x:f>
      </x:c>
      <x:c r="G14" s="30"/>
      <x:c r="H14" s="30" t="str">
        <x:v>Contacts at 15 Sep baseline</x:v>
      </x:c>
      <x:c r="I14" s="30" t="n">
        <x:v>0</x:v>
      </x:c>
    </x:row>
    <x:row r="15" ht="23" customHeight="1">
      <x:c r="B15" s="30" t="str">
        <x:v>Partner replies</x:v>
      </x:c>
      <x:c r="C15" s="36" t="n">
        <x:f>IF(C$7="Not reviewed","",SUMIFS('Activity log'!$R$8:$R$257,'Activity log'!$H$8:$H$257,"Reply",'Activity log'!$B$8:$B$257,"&gt;="&amp;C$6,'Activity log'!$B$8:$B$257,"&lt;"&amp;C$6+7,'Activity log'!$B$8:$B$257,"&lt;"&amp;$C$5+1,'Activity log'!$E$8:$E$257,"Partner"))</x:f>
        <x:v>0</x:v>
      </x:c>
      <x:c r="D15" s="36" t="str">
        <x:f>IF(D$7="Not reviewed","",SUMIFS('Activity log'!$R$8:$R$257,'Activity log'!$H$8:$H$257,"Reply",'Activity log'!$B$8:$B$257,"&gt;="&amp;D$6,'Activity log'!$B$8:$B$257,"&lt;"&amp;D$6+7,'Activity log'!$B$8:$B$257,"&lt;"&amp;$C$5+1,'Activity log'!$E$8:$E$257,"Partner"))</x:f>
      </x:c>
      <x:c r="E15" s="36" t="str">
        <x:f>IF(E$7="Not reviewed","",SUMIFS('Activity log'!$R$8:$R$257,'Activity log'!$H$8:$H$257,"Reply",'Activity log'!$B$8:$B$257,"&gt;="&amp;E$6,'Activity log'!$B$8:$B$257,"&lt;"&amp;E$6+7,'Activity log'!$B$8:$B$257,"&lt;"&amp;$C$5+1,'Activity log'!$E$8:$E$257,"Partner"))</x:f>
      </x:c>
      <x:c r="F15" s="36" t="str">
        <x:f>IF(F$7="Not reviewed","",SUMIFS('Activity log'!$R$8:$R$257,'Activity log'!$H$8:$H$257,"Reply",'Activity log'!$B$8:$B$257,"&gt;="&amp;F$6,'Activity log'!$B$8:$B$257,"&lt;"&amp;F$6+7,'Activity log'!$B$8:$B$257,"&lt;"&amp;$C$5+1,'Activity log'!$E$8:$E$257,"Partner"))</x:f>
      </x:c>
      <x:c r="G15" s="30"/>
      <x:c r="H15" s="30" t="str">
        <x:v>Baseline confirmed by owner</x:v>
      </x:c>
      <x:c r="I15" s="30" t="str">
        <x:v>15 Sep 2026</x:v>
      </x:c>
    </x:row>
    <x:row r="16" ht="23" customHeight="1">
      <x:c r="B16" s="30" t="str">
        <x:v>Fit calls booked</x:v>
      </x:c>
      <x:c r="C16" s="36" t="n">
        <x:f>IF(C$7="Not reviewed","",SUMIFS('Activity log'!$R$8:$R$257,'Activity log'!$H$8:$H$257,"Fit booked",'Activity log'!$B$8:$B$257,"&gt;="&amp;C$6,'Activity log'!$B$8:$B$257,"&lt;"&amp;C$6+7,'Activity log'!$B$8:$B$257,"&lt;"&amp;$C$5+1,'Activity log'!$E$8:$E$257,"Buyer"))</x:f>
        <x:v>0</x:v>
      </x:c>
      <x:c r="D16" s="36" t="str">
        <x:f>IF(D$7="Not reviewed","",SUMIFS('Activity log'!$R$8:$R$257,'Activity log'!$H$8:$H$257,"Fit booked",'Activity log'!$B$8:$B$257,"&gt;="&amp;D$6,'Activity log'!$B$8:$B$257,"&lt;"&amp;D$6+7,'Activity log'!$B$8:$B$257,"&lt;"&amp;$C$5+1,'Activity log'!$E$8:$E$257,"Buyer"))</x:f>
      </x:c>
      <x:c r="E16" s="36" t="str">
        <x:f>IF(E$7="Not reviewed","",SUMIFS('Activity log'!$R$8:$R$257,'Activity log'!$H$8:$H$257,"Fit booked",'Activity log'!$B$8:$B$257,"&gt;="&amp;E$6,'Activity log'!$B$8:$B$257,"&lt;"&amp;E$6+7,'Activity log'!$B$8:$B$257,"&lt;"&amp;$C$5+1,'Activity log'!$E$8:$E$257,"Buyer"))</x:f>
      </x:c>
      <x:c r="F16" s="36" t="str">
        <x:f>IF(F$7="Not reviewed","",SUMIFS('Activity log'!$R$8:$R$257,'Activity log'!$H$8:$H$257,"Fit booked",'Activity log'!$B$8:$B$257,"&gt;="&amp;F$6,'Activity log'!$B$8:$B$257,"&lt;"&amp;F$6+7,'Activity log'!$B$8:$B$257,"&lt;"&amp;$C$5+1,'Activity log'!$E$8:$E$257,"Buyer"))</x:f>
      </x:c>
      <x:c r="G16" s="30"/>
      <x:c r="H16" s="30" t="str">
        <x:v>Form tests excluded</x:v>
      </x:c>
      <x:c r="I16" s="30" t="str">
        <x:v>3 notifications reviewed</x:v>
      </x:c>
    </x:row>
    <x:row r="17" ht="23" customHeight="1">
      <x:c r="B17" s="30" t="str">
        <x:v>Fit calls attended</x:v>
      </x:c>
      <x:c r="C17" s="36" t="n">
        <x:f>IF(C$7="Not reviewed","",SUMIFS('Activity log'!$R$8:$R$257,'Activity log'!$H$8:$H$257,"Fit attended",'Activity log'!$B$8:$B$257,"&gt;="&amp;C$6,'Activity log'!$B$8:$B$257,"&lt;"&amp;C$6+7,'Activity log'!$B$8:$B$257,"&lt;"&amp;$C$5+1,'Activity log'!$E$8:$E$257,"Buyer"))</x:f>
        <x:v>0</x:v>
      </x:c>
      <x:c r="D17" s="36" t="str">
        <x:f>IF(D$7="Not reviewed","",SUMIFS('Activity log'!$R$8:$R$257,'Activity log'!$H$8:$H$257,"Fit attended",'Activity log'!$B$8:$B$257,"&gt;="&amp;D$6,'Activity log'!$B$8:$B$257,"&lt;"&amp;D$6+7,'Activity log'!$B$8:$B$257,"&lt;"&amp;$C$5+1,'Activity log'!$E$8:$E$257,"Buyer"))</x:f>
      </x:c>
      <x:c r="E17" s="36" t="str">
        <x:f>IF(E$7="Not reviewed","",SUMIFS('Activity log'!$R$8:$R$257,'Activity log'!$H$8:$H$257,"Fit attended",'Activity log'!$B$8:$B$257,"&gt;="&amp;E$6,'Activity log'!$B$8:$B$257,"&lt;"&amp;E$6+7,'Activity log'!$B$8:$B$257,"&lt;"&amp;$C$5+1,'Activity log'!$E$8:$E$257,"Buyer"))</x:f>
      </x:c>
      <x:c r="F17" s="36" t="str">
        <x:f>IF(F$7="Not reviewed","",SUMIFS('Activity log'!$R$8:$R$257,'Activity log'!$H$8:$H$257,"Fit attended",'Activity log'!$B$8:$B$257,"&gt;="&amp;F$6,'Activity log'!$B$8:$B$257,"&lt;"&amp;F$6+7,'Activity log'!$B$8:$B$257,"&lt;"&amp;$C$5+1,'Activity log'!$E$8:$E$257,"Buyer"))</x:f>
      </x:c>
      <x:c r="G17" s="30"/>
      <x:c r="H17" s="30"/>
      <x:c r="I17" s="30"/>
    </x:row>
    <x:row r="18" ht="23" customHeight="1">
      <x:c r="B18" s="30" t="str">
        <x:v>Qualified provider next steps</x:v>
      </x:c>
      <x:c r="C18" s="36" t="n">
        <x:f>IF(C$7="Not reviewed","",SUMIFS('Activity log'!$R$8:$R$257,'Activity log'!$H$8:$H$257,"Fit qualified",'Activity log'!$B$8:$B$257,"&gt;="&amp;C$6,'Activity log'!$B$8:$B$257,"&lt;"&amp;C$6+7,'Activity log'!$B$8:$B$257,"&lt;"&amp;$C$5+1,'Activity log'!$E$8:$E$257,"Buyer"))</x:f>
        <x:v>0</x:v>
      </x:c>
      <x:c r="D18" s="36" t="str">
        <x:f>IF(D$7="Not reviewed","",SUMIFS('Activity log'!$R$8:$R$257,'Activity log'!$H$8:$H$257,"Fit qualified",'Activity log'!$B$8:$B$257,"&gt;="&amp;D$6,'Activity log'!$B$8:$B$257,"&lt;"&amp;D$6+7,'Activity log'!$B$8:$B$257,"&lt;"&amp;$C$5+1,'Activity log'!$E$8:$E$257,"Buyer"))</x:f>
      </x:c>
      <x:c r="E18" s="36" t="str">
        <x:f>IF(E$7="Not reviewed","",SUMIFS('Activity log'!$R$8:$R$257,'Activity log'!$H$8:$H$257,"Fit qualified",'Activity log'!$B$8:$B$257,"&gt;="&amp;E$6,'Activity log'!$B$8:$B$257,"&lt;"&amp;E$6+7,'Activity log'!$B$8:$B$257,"&lt;"&amp;$C$5+1,'Activity log'!$E$8:$E$257,"Buyer"))</x:f>
      </x:c>
      <x:c r="F18" s="36" t="str">
        <x:f>IF(F$7="Not reviewed","",SUMIFS('Activity log'!$R$8:$R$257,'Activity log'!$H$8:$H$257,"Fit qualified",'Activity log'!$B$8:$B$257,"&gt;="&amp;F$6,'Activity log'!$B$8:$B$257,"&lt;"&amp;F$6+7,'Activity log'!$B$8:$B$257,"&lt;"&amp;$C$5+1,'Activity log'!$E$8:$E$257,"Buyer"))</x:f>
      </x:c>
      <x:c r="G18" s="30"/>
      <x:c r="H18" s="30" t="str">
        <x:v>Counts are recorded campaign events.</x:v>
      </x:c>
      <x:c r="I18" s="30"/>
    </x:row>
    <x:row r="19" ht="23" customHeight="1">
      <x:c r="B19" s="30" t="str">
        <x:v>Proposals issued</x:v>
      </x:c>
      <x:c r="C19" s="36" t="n">
        <x:f>IF(C$7="Not reviewed","",SUMIFS('Activity log'!$R$8:$R$257,'Activity log'!$H$8:$H$257,"Proposal",'Activity log'!$B$8:$B$257,"&gt;="&amp;C$6,'Activity log'!$B$8:$B$257,"&lt;"&amp;C$6+7,'Activity log'!$B$8:$B$257,"&lt;"&amp;$C$5+1,'Activity log'!$E$8:$E$257,"Buyer"))</x:f>
        <x:v>0</x:v>
      </x:c>
      <x:c r="D19" s="36" t="str">
        <x:f>IF(D$7="Not reviewed","",SUMIFS('Activity log'!$R$8:$R$257,'Activity log'!$H$8:$H$257,"Proposal",'Activity log'!$B$8:$B$257,"&gt;="&amp;D$6,'Activity log'!$B$8:$B$257,"&lt;"&amp;D$6+7,'Activity log'!$B$8:$B$257,"&lt;"&amp;$C$5+1,'Activity log'!$E$8:$E$257,"Buyer"))</x:f>
      </x:c>
      <x:c r="E19" s="36" t="str">
        <x:f>IF(E$7="Not reviewed","",SUMIFS('Activity log'!$R$8:$R$257,'Activity log'!$H$8:$H$257,"Proposal",'Activity log'!$B$8:$B$257,"&gt;="&amp;E$6,'Activity log'!$B$8:$B$257,"&lt;"&amp;E$6+7,'Activity log'!$B$8:$B$257,"&lt;"&amp;$C$5+1,'Activity log'!$E$8:$E$257,"Buyer"))</x:f>
      </x:c>
      <x:c r="F19" s="36" t="str">
        <x:f>IF(F$7="Not reviewed","",SUMIFS('Activity log'!$R$8:$R$257,'Activity log'!$H$8:$H$257,"Proposal",'Activity log'!$B$8:$B$257,"&gt;="&amp;F$6,'Activity log'!$B$8:$B$257,"&lt;"&amp;F$6+7,'Activity log'!$B$8:$B$257,"&lt;"&amp;$C$5+1,'Activity log'!$E$8:$E$257,"Buyer"))</x:f>
      </x:c>
      <x:c r="G19" s="30"/>
      <x:c r="H19" s="30" t="str">
        <x:v>Public research fit is not buyer qualification.</x:v>
      </x:c>
      <x:c r="I19" s="30"/>
    </x:row>
    <x:row r="20" ht="23" customHeight="1">
      <x:c r="B20" s="30" t="str">
        <x:v>Wins</x:v>
      </x:c>
      <x:c r="C20" s="36" t="n">
        <x:f>IF(C$7="Not reviewed","",SUMIFS('Activity log'!$R$8:$R$257,'Activity log'!$H$8:$H$257,"Won",'Activity log'!$B$8:$B$257,"&gt;="&amp;C$6,'Activity log'!$B$8:$B$257,"&lt;"&amp;C$6+7,'Activity log'!$B$8:$B$257,"&lt;"&amp;$C$5+1,'Activity log'!$E$8:$E$257,"Buyer"))</x:f>
        <x:v>0</x:v>
      </x:c>
      <x:c r="D20" s="36" t="str">
        <x:f>IF(D$7="Not reviewed","",SUMIFS('Activity log'!$R$8:$R$257,'Activity log'!$H$8:$H$257,"Won",'Activity log'!$B$8:$B$257,"&gt;="&amp;D$6,'Activity log'!$B$8:$B$257,"&lt;"&amp;D$6+7,'Activity log'!$B$8:$B$257,"&lt;"&amp;$C$5+1,'Activity log'!$E$8:$E$257,"Buyer"))</x:f>
      </x:c>
      <x:c r="E20" s="36" t="str">
        <x:f>IF(E$7="Not reviewed","",SUMIFS('Activity log'!$R$8:$R$257,'Activity log'!$H$8:$H$257,"Won",'Activity log'!$B$8:$B$257,"&gt;="&amp;E$6,'Activity log'!$B$8:$B$257,"&lt;"&amp;E$6+7,'Activity log'!$B$8:$B$257,"&lt;"&amp;$C$5+1,'Activity log'!$E$8:$E$257,"Buyer"))</x:f>
      </x:c>
      <x:c r="F20" s="36" t="str">
        <x:f>IF(F$7="Not reviewed","",SUMIFS('Activity log'!$R$8:$R$257,'Activity log'!$H$8:$H$257,"Won",'Activity log'!$B$8:$B$257,"&gt;="&amp;F$6,'Activity log'!$B$8:$B$257,"&lt;"&amp;F$6+7,'Activity log'!$B$8:$B$257,"&lt;"&amp;$C$5+1,'Activity log'!$E$8:$E$257,"Buyer"))</x:f>
      </x:c>
      <x:c r="G20" s="30"/>
      <x:c r="H20" s="30" t="str">
        <x:v>A sent message needs permission evidence.</x:v>
      </x:c>
      <x:c r="I20" s="30"/>
    </x:row>
    <x:row r="21" ht="23" customHeight="1">
      <x:c r="B21" s="30" t="str">
        <x:v>Losses</x:v>
      </x:c>
      <x:c r="C21" s="36" t="n">
        <x:f>IF(C$7="Not reviewed","",SUMIFS('Activity log'!$R$8:$R$257,'Activity log'!$H$8:$H$257,"Lost",'Activity log'!$B$8:$B$257,"&gt;="&amp;C$6,'Activity log'!$B$8:$B$257,"&lt;"&amp;C$6+7,'Activity log'!$B$8:$B$257,"&lt;"&amp;$C$5+1,'Activity log'!$E$8:$E$257,"Buyer"))</x:f>
        <x:v>0</x:v>
      </x:c>
      <x:c r="D21" s="36" t="str">
        <x:f>IF(D$7="Not reviewed","",SUMIFS('Activity log'!$R$8:$R$257,'Activity log'!$H$8:$H$257,"Lost",'Activity log'!$B$8:$B$257,"&gt;="&amp;D$6,'Activity log'!$B$8:$B$257,"&lt;"&amp;D$6+7,'Activity log'!$B$8:$B$257,"&lt;"&amp;$C$5+1,'Activity log'!$E$8:$E$257,"Buyer"))</x:f>
      </x:c>
      <x:c r="E21" s="36" t="str">
        <x:f>IF(E$7="Not reviewed","",SUMIFS('Activity log'!$R$8:$R$257,'Activity log'!$H$8:$H$257,"Lost",'Activity log'!$B$8:$B$257,"&gt;="&amp;E$6,'Activity log'!$B$8:$B$257,"&lt;"&amp;E$6+7,'Activity log'!$B$8:$B$257,"&lt;"&amp;$C$5+1,'Activity log'!$E$8:$E$257,"Buyer"))</x:f>
      </x:c>
      <x:c r="F21" s="36" t="str">
        <x:f>IF(F$7="Not reviewed","",SUMIFS('Activity log'!$R$8:$R$257,'Activity log'!$H$8:$H$257,"Lost",'Activity log'!$B$8:$B$257,"&gt;="&amp;F$6,'Activity log'!$B$8:$B$257,"&lt;"&amp;F$6+7,'Activity log'!$B$8:$B$257,"&lt;"&amp;$C$5+1,'Activity log'!$E$8:$E$257,"Buyer"))</x:f>
      </x:c>
      <x:c r="G21" s="30"/>
      <x:c r="H21" s="30" t="str">
        <x:v>No response-rate inference from this baseline.</x:v>
      </x:c>
      <x:c r="I21" s="30"/>
    </x:row>
    <x:row r="22" ht="23" customHeight="1">
      <x:c r="B22" s="30" t="str">
        <x:v>Organisations reporting an objection</x:v>
      </x:c>
      <x:c r="C22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log'!$E$8:$E$257,"Buyer"))</x:f>
        <x:v>0</x:v>
      </x:c>
      <x:c r="D22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log'!$E$8:$E$257,"Buyer"))</x:f>
      </x:c>
      <x:c r="E22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log'!$E$8:$E$257,"Buyer"))</x:f>
      </x:c>
      <x:c r="F22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log'!$E$8:$E$257,"Buyer"))</x:f>
      </x:c>
      <x:c r="G22" s="30"/>
      <x:c r="H22" s="30"/>
      <x:c r="I22" s="30"/>
    </x:row>
    <x:row r="23" ht="23" customHeight="1">
      <x:c r="B23" s="30" t="str">
        <x:v>Organisations assessed as no fit</x:v>
      </x:c>
      <x:c r="C23" s="36" t="n">
        <x:f>IF(C$7="Not reviewed","",SUMIFS('Activity log'!$R$8:$R$257,'Activity log'!$H$8:$H$257,"No fit",'Activity log'!$B$8:$B$257,"&gt;="&amp;C$6,'Activity log'!$B$8:$B$257,"&lt;"&amp;C$6+7,'Activity log'!$B$8:$B$257,"&lt;"&amp;$C$5+1,'Activity log'!$E$8:$E$257,"Buyer"))</x:f>
        <x:v>0</x:v>
      </x:c>
      <x:c r="D23" s="36" t="str">
        <x:f>IF(D$7="Not reviewed","",SUMIFS('Activity log'!$R$8:$R$257,'Activity log'!$H$8:$H$257,"No fit",'Activity log'!$B$8:$B$257,"&gt;="&amp;D$6,'Activity log'!$B$8:$B$257,"&lt;"&amp;D$6+7,'Activity log'!$B$8:$B$257,"&lt;"&amp;$C$5+1,'Activity log'!$E$8:$E$257,"Buyer"))</x:f>
      </x:c>
      <x:c r="E23" s="36" t="str">
        <x:f>IF(E$7="Not reviewed","",SUMIFS('Activity log'!$R$8:$R$257,'Activity log'!$H$8:$H$257,"No fit",'Activity log'!$B$8:$B$257,"&gt;="&amp;E$6,'Activity log'!$B$8:$B$257,"&lt;"&amp;E$6+7,'Activity log'!$B$8:$B$257,"&lt;"&amp;$C$5+1,'Activity log'!$E$8:$E$257,"Buyer"))</x:f>
      </x:c>
      <x:c r="F23" s="36" t="str">
        <x:f>IF(F$7="Not reviewed","",SUMIFS('Activity log'!$R$8:$R$257,'Activity log'!$H$8:$H$257,"No fit",'Activity log'!$B$8:$B$257,"&gt;="&amp;F$6,'Activity log'!$B$8:$B$257,"&lt;"&amp;F$6+7,'Activity log'!$B$8:$B$257,"&lt;"&amp;$C$5+1,'Activity log'!$E$8:$E$257,"Buyer"))</x:f>
      </x:c>
      <x:c r="G23" s="30"/>
      <x:c r="H23" s="30" t="str">
        <x:v>Rows needing completion</x:v>
      </x:c>
      <x:c r="I23" s="30" t="n">
        <x:f>COUNTIFS('Activity log'!$S$8:$S$257,"Incomplete")+COUNTIFS('Activity log'!$S$8:$S$257,"Duplicate ID")</x:f>
        <x:v>0</x:v>
      </x:c>
    </x:row>
    <x:row r="24" ht="23" customHeight="1">
      <x:c r="B24" s="30" t="str">
        <x:v>Contact permissions recorded</x:v>
      </x:c>
      <x:c r="C24" s="36" t="n">
        <x:f>IF(C$7="Not reviewed","",SUMIFS('Activity log'!$R$8:$R$257,'Activity log'!$H$8:$H$257,"Permission confirmed",'Activity log'!$B$8:$B$257,"&gt;="&amp;C$6,'Activity log'!$B$8:$B$257,"&lt;"&amp;C$6+7,'Activity log'!$B$8:$B$257,"&lt;"&amp;$C$5+1))</x:f>
        <x:v>0</x:v>
      </x:c>
      <x:c r="D24" s="36" t="str">
        <x:f>IF(D$7="Not reviewed","",SUMIFS('Activity log'!$R$8:$R$257,'Activity log'!$H$8:$H$257,"Permission confirmed",'Activity log'!$B$8:$B$257,"&gt;="&amp;D$6,'Activity log'!$B$8:$B$257,"&lt;"&amp;D$6+7,'Activity log'!$B$8:$B$257,"&lt;"&amp;$C$5+1))</x:f>
      </x:c>
      <x:c r="E24" s="36" t="str">
        <x:f>IF(E$7="Not reviewed","",SUMIFS('Activity log'!$R$8:$R$257,'Activity log'!$H$8:$H$257,"Permission confirmed",'Activity log'!$B$8:$B$257,"&gt;="&amp;E$6,'Activity log'!$B$8:$B$257,"&lt;"&amp;E$6+7,'Activity log'!$B$8:$B$257,"&lt;"&amp;$C$5+1))</x:f>
      </x:c>
      <x:c r="F24" s="36" t="str">
        <x:f>IF(F$7="Not reviewed","",SUMIFS('Activity log'!$R$8:$R$257,'Activity log'!$H$8:$H$257,"Permission confirmed",'Activity log'!$B$8:$B$257,"&gt;="&amp;F$6,'Activity log'!$B$8:$B$257,"&lt;"&amp;F$6+7,'Activity log'!$B$8:$B$257,"&lt;"&amp;$C$5+1))</x:f>
      </x:c>
      <x:c r="G24" s="30"/>
      <x:c r="H24" s="30" t="str">
        <x:v>Resolve these rows before finalising a review.</x:v>
      </x:c>
      <x:c r="I24" s="30"/>
    </x:row>
    <x:row r="25" ht="23" customHeight="1">
      <x:c r="B25" s="30"/>
      <x:c r="C25" s="36"/>
      <x:c r="D25" s="36"/>
      <x:c r="E25" s="36"/>
      <x:c r="F25" s="36"/>
      <x:c r="G25" s="30"/>
      <x:c r="H25" s="30"/>
      <x:c r="I25" s="30"/>
    </x:row>
    <x:row r="26" ht="23" customHeight="1">
      <x:c r="B26" s="37" t="str">
        <x:v>First product route recommended</x:v>
      </x:c>
      <x:c r="C26" s="38"/>
      <x:c r="D26" s="38"/>
      <x:c r="E26" s="38"/>
      <x:c r="F26" s="38"/>
      <x:c r="G26" s="30"/>
      <x:c r="H26" s="30"/>
      <x:c r="I26" s="30"/>
    </x:row>
    <x:row r="27" ht="23" customHeight="1">
      <x:c r="B27" s="30" t="str">
        <x:v>Heutrix Diagnostics</x:v>
      </x:c>
      <x:c r="C27" s="36" t="n">
        <x:f>IF(C$7="Not reviewed","",SUMIFS('Activity log'!$R$8:$R$257,'Activity log'!$H$8:$H$257,"Route recommended",'Activity log'!$B$8:$B$257,"&gt;="&amp;C$6,'Activity log'!$B$8:$B$257,"&lt;"&amp;C$6+7,'Activity log'!$B$8:$B$257,"&lt;"&amp;$C$5+1,'Activity log'!$E$8:$E$257,"Buyer",'Activity log'!$K$8:$K$257,"Heutrix Diagnostics"))</x:f>
        <x:v>0</x:v>
      </x:c>
      <x:c r="D27" s="36" t="str">
        <x:f>IF(D$7="Not reviewed","",SUMIFS('Activity log'!$R$8:$R$257,'Activity log'!$H$8:$H$257,"Route recommended",'Activity log'!$B$8:$B$257,"&gt;="&amp;D$6,'Activity log'!$B$8:$B$257,"&lt;"&amp;D$6+7,'Activity log'!$B$8:$B$257,"&lt;"&amp;$C$5+1,'Activity log'!$E$8:$E$257,"Buyer",'Activity log'!$K$8:$K$257,"Heutrix Diagnostics"))</x:f>
      </x:c>
      <x:c r="E27" s="36" t="str">
        <x:f>IF(E$7="Not reviewed","",SUMIFS('Activity log'!$R$8:$R$257,'Activity log'!$H$8:$H$257,"Route recommended",'Activity log'!$B$8:$B$257,"&gt;="&amp;E$6,'Activity log'!$B$8:$B$257,"&lt;"&amp;E$6+7,'Activity log'!$B$8:$B$257,"&lt;"&amp;$C$5+1,'Activity log'!$E$8:$E$257,"Buyer",'Activity log'!$K$8:$K$257,"Heutrix Diagnostics"))</x:f>
      </x:c>
      <x:c r="F27" s="36" t="str">
        <x:f>IF(F$7="Not reviewed","",SUMIFS('Activity log'!$R$8:$R$257,'Activity log'!$H$8:$H$257,"Route recommended",'Activity log'!$B$8:$B$257,"&gt;="&amp;F$6,'Activity log'!$B$8:$B$257,"&lt;"&amp;F$6+7,'Activity log'!$B$8:$B$257,"&lt;"&amp;$C$5+1,'Activity log'!$E$8:$E$257,"Buyer",'Activity log'!$K$8:$K$257,"Heutrix Diagnostics"))</x:f>
      </x:c>
      <x:c r="G27" s="30"/>
      <x:c r="H27" s="30"/>
      <x:c r="I27" s="30"/>
    </x:row>
    <x:row r="28" ht="23" customHeight="1">
      <x:c r="B28" s="30" t="str">
        <x:v>Heutrix Workflow Transformation</x:v>
      </x:c>
      <x:c r="C28" s="36" t="n">
        <x:f>IF(C$7="Not reviewed","",SUMIFS('Activity log'!$R$8:$R$257,'Activity log'!$H$8:$H$257,"Route recommended",'Activity log'!$B$8:$B$257,"&gt;="&amp;C$6,'Activity log'!$B$8:$B$257,"&lt;"&amp;C$6+7,'Activity log'!$B$8:$B$257,"&lt;"&amp;$C$5+1,'Activity log'!$E$8:$E$257,"Buyer",'Activity log'!$K$8:$K$257,"Heutrix Workflow Transformation"))</x:f>
        <x:v>0</x:v>
      </x:c>
      <x:c r="D28" s="36" t="str">
        <x:f>IF(D$7="Not reviewed","",SUMIFS('Activity log'!$R$8:$R$257,'Activity log'!$H$8:$H$257,"Route recommended",'Activity log'!$B$8:$B$257,"&gt;="&amp;D$6,'Activity log'!$B$8:$B$257,"&lt;"&amp;D$6+7,'Activity log'!$B$8:$B$257,"&lt;"&amp;$C$5+1,'Activity log'!$E$8:$E$257,"Buyer",'Activity log'!$K$8:$K$257,"Heutrix Workflow Transformation"))</x:f>
      </x:c>
      <x:c r="E28" s="36" t="str">
        <x:f>IF(E$7="Not reviewed","",SUMIFS('Activity log'!$R$8:$R$257,'Activity log'!$H$8:$H$257,"Route recommended",'Activity log'!$B$8:$B$257,"&gt;="&amp;E$6,'Activity log'!$B$8:$B$257,"&lt;"&amp;E$6+7,'Activity log'!$B$8:$B$257,"&lt;"&amp;$C$5+1,'Activity log'!$E$8:$E$257,"Buyer",'Activity log'!$K$8:$K$257,"Heutrix Workflow Transformation"))</x:f>
      </x:c>
      <x:c r="F28" s="36" t="str">
        <x:f>IF(F$7="Not reviewed","",SUMIFS('Activity log'!$R$8:$R$257,'Activity log'!$H$8:$H$257,"Route recommended",'Activity log'!$B$8:$B$257,"&gt;="&amp;F$6,'Activity log'!$B$8:$B$257,"&lt;"&amp;F$6+7,'Activity log'!$B$8:$B$257,"&lt;"&amp;$C$5+1,'Activity log'!$E$8:$E$257,"Buyer",'Activity log'!$K$8:$K$257,"Heutrix Workflow Transformation"))</x:f>
      </x:c>
      <x:c r="G28" s="30"/>
      <x:c r="H28" s="30"/>
      <x:c r="I28" s="30"/>
    </x:row>
    <x:row r="29" ht="23" customHeight="1">
      <x:c r="B29" s="30" t="str">
        <x:v>Heutrix AI Guardrails</x:v>
      </x:c>
      <x:c r="C29" s="36" t="n">
        <x:f>IF(C$7="Not reviewed","",SUMIFS('Activity log'!$R$8:$R$257,'Activity log'!$H$8:$H$257,"Route recommended",'Activity log'!$B$8:$B$257,"&gt;="&amp;C$6,'Activity log'!$B$8:$B$257,"&lt;"&amp;C$6+7,'Activity log'!$B$8:$B$257,"&lt;"&amp;$C$5+1,'Activity log'!$E$8:$E$257,"Buyer",'Activity log'!$K$8:$K$257,"Heutrix AI Guardrails"))</x:f>
        <x:v>0</x:v>
      </x:c>
      <x:c r="D29" s="36" t="str">
        <x:f>IF(D$7="Not reviewed","",SUMIFS('Activity log'!$R$8:$R$257,'Activity log'!$H$8:$H$257,"Route recommended",'Activity log'!$B$8:$B$257,"&gt;="&amp;D$6,'Activity log'!$B$8:$B$257,"&lt;"&amp;D$6+7,'Activity log'!$B$8:$B$257,"&lt;"&amp;$C$5+1,'Activity log'!$E$8:$E$257,"Buyer",'Activity log'!$K$8:$K$257,"Heutrix AI Guardrails"))</x:f>
      </x:c>
      <x:c r="E29" s="36" t="str">
        <x:f>IF(E$7="Not reviewed","",SUMIFS('Activity log'!$R$8:$R$257,'Activity log'!$H$8:$H$257,"Route recommended",'Activity log'!$B$8:$B$257,"&gt;="&amp;E$6,'Activity log'!$B$8:$B$257,"&lt;"&amp;E$6+7,'Activity log'!$B$8:$B$257,"&lt;"&amp;$C$5+1,'Activity log'!$E$8:$E$257,"Buyer",'Activity log'!$K$8:$K$257,"Heutrix AI Guardrails"))</x:f>
      </x:c>
      <x:c r="F29" s="36" t="str">
        <x:f>IF(F$7="Not reviewed","",SUMIFS('Activity log'!$R$8:$R$257,'Activity log'!$H$8:$H$257,"Route recommended",'Activity log'!$B$8:$B$257,"&gt;="&amp;F$6,'Activity log'!$B$8:$B$257,"&lt;"&amp;F$6+7,'Activity log'!$B$8:$B$257,"&lt;"&amp;$C$5+1,'Activity log'!$E$8:$E$257,"Buyer",'Activity log'!$K$8:$K$257,"Heutrix AI Guardrails"))</x:f>
      </x:c>
      <x:c r="G29" s="30"/>
      <x:c r="H29" s="30"/>
      <x:c r="I29" s="30"/>
    </x:row>
    <x:row r="30" ht="23" customHeight="1">
      <x:c r="B30" s="30"/>
      <x:c r="C30" s="36"/>
      <x:c r="D30" s="36"/>
      <x:c r="E30" s="36"/>
      <x:c r="F30" s="36"/>
      <x:c r="G30" s="30"/>
      <x:c r="H30" s="30"/>
      <x:c r="I30" s="30"/>
    </x:row>
    <x:row r="31" ht="23" customHeight="1">
      <x:c r="B31" s="37" t="str">
        <x:v>Primary objection / no-fit reason</x:v>
      </x:c>
      <x:c r="C31" s="38"/>
      <x:c r="D31" s="38"/>
      <x:c r="E31" s="38"/>
      <x:c r="F31" s="38"/>
      <x:c r="G31" s="30"/>
      <x:c r="H31" s="30"/>
      <x:c r="I31" s="30"/>
    </x:row>
    <x:row r="32" ht="23" customHeight="1">
      <x:c r="B32" s="30" t="str">
        <x:v>No priority</x:v>
      </x:c>
      <x:c r="C32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priority")+SUMIFS('Activity log'!$R$8:$R$257,'Activity log'!$H$8:$H$257,"No fit",'Activity log'!$B$8:$B$257,"&gt;="&amp;C$6,'Activity log'!$B$8:$B$257,"&lt;"&amp;C$6+7,'Activity log'!$B$8:$B$257,"&lt;"&amp;$C$5+1,'Activity log'!$E$8:$E$257,"Buyer",'Activity log'!$L$8:$L$257,"No priority"))</x:f>
        <x:v>0</x:v>
      </x:c>
      <x:c r="D32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priority")+SUMIFS('Activity log'!$R$8:$R$257,'Activity log'!$H$8:$H$257,"No fit",'Activity log'!$B$8:$B$257,"&gt;="&amp;D$6,'Activity log'!$B$8:$B$257,"&lt;"&amp;D$6+7,'Activity log'!$B$8:$B$257,"&lt;"&amp;$C$5+1,'Activity log'!$E$8:$E$257,"Buyer",'Activity log'!$L$8:$L$257,"No priority"))</x:f>
      </x:c>
      <x:c r="E32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priority")+SUMIFS('Activity log'!$R$8:$R$257,'Activity log'!$H$8:$H$257,"No fit",'Activity log'!$B$8:$B$257,"&gt;="&amp;E$6,'Activity log'!$B$8:$B$257,"&lt;"&amp;E$6+7,'Activity log'!$B$8:$B$257,"&lt;"&amp;$C$5+1,'Activity log'!$E$8:$E$257,"Buyer",'Activity log'!$L$8:$L$257,"No priority"))</x:f>
      </x:c>
      <x:c r="F32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priority")+SUMIFS('Activity log'!$R$8:$R$257,'Activity log'!$H$8:$H$257,"No fit",'Activity log'!$B$8:$B$257,"&gt;="&amp;F$6,'Activity log'!$B$8:$B$257,"&lt;"&amp;F$6+7,'Activity log'!$B$8:$B$257,"&lt;"&amp;$C$5+1,'Activity log'!$E$8:$E$257,"Buyer",'Activity log'!$L$8:$L$257,"No priority"))</x:f>
      </x:c>
      <x:c r="G32" s="30"/>
      <x:c r="H32" s="30"/>
      <x:c r="I32" s="30"/>
    </x:row>
    <x:row r="33" ht="23" customHeight="1">
      <x:c r="B33" s="30" t="str">
        <x:v>No budget</x:v>
      </x:c>
      <x:c r="C33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budget")+SUMIFS('Activity log'!$R$8:$R$257,'Activity log'!$H$8:$H$257,"No fit",'Activity log'!$B$8:$B$257,"&gt;="&amp;C$6,'Activity log'!$B$8:$B$257,"&lt;"&amp;C$6+7,'Activity log'!$B$8:$B$257,"&lt;"&amp;$C$5+1,'Activity log'!$E$8:$E$257,"Buyer",'Activity log'!$L$8:$L$257,"No budget"))</x:f>
        <x:v>0</x:v>
      </x:c>
      <x:c r="D33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budget")+SUMIFS('Activity log'!$R$8:$R$257,'Activity log'!$H$8:$H$257,"No fit",'Activity log'!$B$8:$B$257,"&gt;="&amp;D$6,'Activity log'!$B$8:$B$257,"&lt;"&amp;D$6+7,'Activity log'!$B$8:$B$257,"&lt;"&amp;$C$5+1,'Activity log'!$E$8:$E$257,"Buyer",'Activity log'!$L$8:$L$257,"No budget"))</x:f>
      </x:c>
      <x:c r="E33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budget")+SUMIFS('Activity log'!$R$8:$R$257,'Activity log'!$H$8:$H$257,"No fit",'Activity log'!$B$8:$B$257,"&gt;="&amp;E$6,'Activity log'!$B$8:$B$257,"&lt;"&amp;E$6+7,'Activity log'!$B$8:$B$257,"&lt;"&amp;$C$5+1,'Activity log'!$E$8:$E$257,"Buyer",'Activity log'!$L$8:$L$257,"No budget"))</x:f>
      </x:c>
      <x:c r="F33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budget")+SUMIFS('Activity log'!$R$8:$R$257,'Activity log'!$H$8:$H$257,"No fit",'Activity log'!$B$8:$B$257,"&gt;="&amp;F$6,'Activity log'!$B$8:$B$257,"&lt;"&amp;F$6+7,'Activity log'!$B$8:$B$257,"&lt;"&amp;$C$5+1,'Activity log'!$E$8:$E$257,"Buyer",'Activity log'!$L$8:$L$257,"No budget"))</x:f>
      </x:c>
      <x:c r="G33" s="30"/>
      <x:c r="H33" s="30"/>
      <x:c r="I33" s="30"/>
    </x:row>
    <x:row r="34" ht="23" customHeight="1">
      <x:c r="B34" s="30" t="str">
        <x:v>No owner</x:v>
      </x:c>
      <x:c r="C34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owner")+SUMIFS('Activity log'!$R$8:$R$257,'Activity log'!$H$8:$H$257,"No fit",'Activity log'!$B$8:$B$257,"&gt;="&amp;C$6,'Activity log'!$B$8:$B$257,"&lt;"&amp;C$6+7,'Activity log'!$B$8:$B$257,"&lt;"&amp;$C$5+1,'Activity log'!$E$8:$E$257,"Buyer",'Activity log'!$L$8:$L$257,"No owner"))</x:f>
        <x:v>0</x:v>
      </x:c>
      <x:c r="D34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owner")+SUMIFS('Activity log'!$R$8:$R$257,'Activity log'!$H$8:$H$257,"No fit",'Activity log'!$B$8:$B$257,"&gt;="&amp;D$6,'Activity log'!$B$8:$B$257,"&lt;"&amp;D$6+7,'Activity log'!$B$8:$B$257,"&lt;"&amp;$C$5+1,'Activity log'!$E$8:$E$257,"Buyer",'Activity log'!$L$8:$L$257,"No owner"))</x:f>
      </x:c>
      <x:c r="E34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owner")+SUMIFS('Activity log'!$R$8:$R$257,'Activity log'!$H$8:$H$257,"No fit",'Activity log'!$B$8:$B$257,"&gt;="&amp;E$6,'Activity log'!$B$8:$B$257,"&lt;"&amp;E$6+7,'Activity log'!$B$8:$B$257,"&lt;"&amp;$C$5+1,'Activity log'!$E$8:$E$257,"Buyer",'Activity log'!$L$8:$L$257,"No owner"))</x:f>
      </x:c>
      <x:c r="F34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owner")+SUMIFS('Activity log'!$R$8:$R$257,'Activity log'!$H$8:$H$257,"No fit",'Activity log'!$B$8:$B$257,"&gt;="&amp;F$6,'Activity log'!$B$8:$B$257,"&lt;"&amp;F$6+7,'Activity log'!$B$8:$B$257,"&lt;"&amp;$C$5+1,'Activity log'!$E$8:$E$257,"Buyer",'Activity log'!$L$8:$L$257,"No owner"))</x:f>
      </x:c>
      <x:c r="G34" s="30"/>
      <x:c r="H34" s="30"/>
      <x:c r="I34" s="30"/>
    </x:row>
    <x:row r="35" ht="23" customHeight="1">
      <x:c r="B35" s="30" t="str">
        <x:v>No staff capacity</x:v>
      </x:c>
      <x:c r="C35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staff capacity")+SUMIFS('Activity log'!$R$8:$R$257,'Activity log'!$H$8:$H$257,"No fit",'Activity log'!$B$8:$B$257,"&gt;="&amp;C$6,'Activity log'!$B$8:$B$257,"&lt;"&amp;C$6+7,'Activity log'!$B$8:$B$257,"&lt;"&amp;$C$5+1,'Activity log'!$E$8:$E$257,"Buyer",'Activity log'!$L$8:$L$257,"No staff capacity"))</x:f>
        <x:v>0</x:v>
      </x:c>
      <x:c r="D35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staff capacity")+SUMIFS('Activity log'!$R$8:$R$257,'Activity log'!$H$8:$H$257,"No fit",'Activity log'!$B$8:$B$257,"&gt;="&amp;D$6,'Activity log'!$B$8:$B$257,"&lt;"&amp;D$6+7,'Activity log'!$B$8:$B$257,"&lt;"&amp;$C$5+1,'Activity log'!$E$8:$E$257,"Buyer",'Activity log'!$L$8:$L$257,"No staff capacity"))</x:f>
      </x:c>
      <x:c r="E35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staff capacity")+SUMIFS('Activity log'!$R$8:$R$257,'Activity log'!$H$8:$H$257,"No fit",'Activity log'!$B$8:$B$257,"&gt;="&amp;E$6,'Activity log'!$B$8:$B$257,"&lt;"&amp;E$6+7,'Activity log'!$B$8:$B$257,"&lt;"&amp;$C$5+1,'Activity log'!$E$8:$E$257,"Buyer",'Activity log'!$L$8:$L$257,"No staff capacity"))</x:f>
      </x:c>
      <x:c r="F35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staff capacity")+SUMIFS('Activity log'!$R$8:$R$257,'Activity log'!$H$8:$H$257,"No fit",'Activity log'!$B$8:$B$257,"&gt;="&amp;F$6,'Activity log'!$B$8:$B$257,"&lt;"&amp;F$6+7,'Activity log'!$B$8:$B$257,"&lt;"&amp;$C$5+1,'Activity log'!$E$8:$E$257,"Buyer",'Activity log'!$L$8:$L$257,"No staff capacity"))</x:f>
      </x:c>
      <x:c r="G35" s="30"/>
      <x:c r="H35" s="30"/>
      <x:c r="I35" s="30"/>
    </x:row>
    <x:row r="36" ht="23" customHeight="1">
      <x:c r="B36" s="30" t="str">
        <x:v>Access uncertainty</x:v>
      </x:c>
      <x:c r="C36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log'!$L$8:$L$257,"Access uncertainty")+SUMIFS('Activity log'!$R$8:$R$257,'Activity log'!$H$8:$H$257,"No fit",'Activity log'!$B$8:$B$257,"&gt;="&amp;C$6,'Activity log'!$B$8:$B$257,"&lt;"&amp;C$6+7,'Activity log'!$B$8:$B$257,"&lt;"&amp;$C$5+1,'Activity log'!$E$8:$E$257,"Buyer",'Activity log'!$L$8:$L$257,"Access uncertainty"))</x:f>
        <x:v>0</x:v>
      </x:c>
      <x:c r="D36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log'!$L$8:$L$257,"Access uncertainty")+SUMIFS('Activity log'!$R$8:$R$257,'Activity log'!$H$8:$H$257,"No fit",'Activity log'!$B$8:$B$257,"&gt;="&amp;D$6,'Activity log'!$B$8:$B$257,"&lt;"&amp;D$6+7,'Activity log'!$B$8:$B$257,"&lt;"&amp;$C$5+1,'Activity log'!$E$8:$E$257,"Buyer",'Activity log'!$L$8:$L$257,"Access uncertainty"))</x:f>
      </x:c>
      <x:c r="E36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log'!$L$8:$L$257,"Access uncertainty")+SUMIFS('Activity log'!$R$8:$R$257,'Activity log'!$H$8:$H$257,"No fit",'Activity log'!$B$8:$B$257,"&gt;="&amp;E$6,'Activity log'!$B$8:$B$257,"&lt;"&amp;E$6+7,'Activity log'!$B$8:$B$257,"&lt;"&amp;$C$5+1,'Activity log'!$E$8:$E$257,"Buyer",'Activity log'!$L$8:$L$257,"Access uncertainty"))</x:f>
      </x:c>
      <x:c r="F36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log'!$L$8:$L$257,"Access uncertainty")+SUMIFS('Activity log'!$R$8:$R$257,'Activity log'!$H$8:$H$257,"No fit",'Activity log'!$B$8:$B$257,"&gt;="&amp;F$6,'Activity log'!$B$8:$B$257,"&lt;"&amp;F$6+7,'Activity log'!$B$8:$B$257,"&lt;"&amp;$C$5+1,'Activity log'!$E$8:$E$257,"Buyer",'Activity log'!$L$8:$L$257,"Access uncertainty"))</x:f>
      </x:c>
      <x:c r="G36" s="30"/>
      <x:c r="H36" s="30"/>
      <x:c r="I36" s="30"/>
    </x:row>
    <x:row r="37" ht="23" customHeight="1">
      <x:c r="B37" s="30" t="str">
        <x:v>Wrong scope</x:v>
      </x:c>
      <x:c r="C37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log'!$L$8:$L$257,"Wrong scope")+SUMIFS('Activity log'!$R$8:$R$257,'Activity log'!$H$8:$H$257,"No fit",'Activity log'!$B$8:$B$257,"&gt;="&amp;C$6,'Activity log'!$B$8:$B$257,"&lt;"&amp;C$6+7,'Activity log'!$B$8:$B$257,"&lt;"&amp;$C$5+1,'Activity log'!$E$8:$E$257,"Buyer",'Activity log'!$L$8:$L$257,"Wrong scope"))</x:f>
        <x:v>0</x:v>
      </x:c>
      <x:c r="D37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log'!$L$8:$L$257,"Wrong scope")+SUMIFS('Activity log'!$R$8:$R$257,'Activity log'!$H$8:$H$257,"No fit",'Activity log'!$B$8:$B$257,"&gt;="&amp;D$6,'Activity log'!$B$8:$B$257,"&lt;"&amp;D$6+7,'Activity log'!$B$8:$B$257,"&lt;"&amp;$C$5+1,'Activity log'!$E$8:$E$257,"Buyer",'Activity log'!$L$8:$L$257,"Wrong scope"))</x:f>
      </x:c>
      <x:c r="E37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log'!$L$8:$L$257,"Wrong scope")+SUMIFS('Activity log'!$R$8:$R$257,'Activity log'!$H$8:$H$257,"No fit",'Activity log'!$B$8:$B$257,"&gt;="&amp;E$6,'Activity log'!$B$8:$B$257,"&lt;"&amp;E$6+7,'Activity log'!$B$8:$B$257,"&lt;"&amp;$C$5+1,'Activity log'!$E$8:$E$257,"Buyer",'Activity log'!$L$8:$L$257,"Wrong scope"))</x:f>
      </x:c>
      <x:c r="F37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log'!$L$8:$L$257,"Wrong scope")+SUMIFS('Activity log'!$R$8:$R$257,'Activity log'!$H$8:$H$257,"No fit",'Activity log'!$B$8:$B$257,"&gt;="&amp;F$6,'Activity log'!$B$8:$B$257,"&lt;"&amp;F$6+7,'Activity log'!$B$8:$B$257,"&lt;"&amp;$C$5+1,'Activity log'!$E$8:$E$257,"Buyer",'Activity log'!$L$8:$L$257,"Wrong scope"))</x:f>
      </x:c>
      <x:c r="G37" s="30"/>
      <x:c r="H37" s="30"/>
      <x:c r="I37" s="30"/>
    </x:row>
    <x:row r="38" ht="23" customHeight="1">
      <x:c r="B38" s="30" t="str">
        <x:v>Timing</x:v>
      </x:c>
      <x:c r="C38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log'!$L$8:$L$257,"Timing")+SUMIFS('Activity log'!$R$8:$R$257,'Activity log'!$H$8:$H$257,"No fit",'Activity log'!$B$8:$B$257,"&gt;="&amp;C$6,'Activity log'!$B$8:$B$257,"&lt;"&amp;C$6+7,'Activity log'!$B$8:$B$257,"&lt;"&amp;$C$5+1,'Activity log'!$E$8:$E$257,"Buyer",'Activity log'!$L$8:$L$257,"Timing"))</x:f>
        <x:v>0</x:v>
      </x:c>
      <x:c r="D38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log'!$L$8:$L$257,"Timing")+SUMIFS('Activity log'!$R$8:$R$257,'Activity log'!$H$8:$H$257,"No fit",'Activity log'!$B$8:$B$257,"&gt;="&amp;D$6,'Activity log'!$B$8:$B$257,"&lt;"&amp;D$6+7,'Activity log'!$B$8:$B$257,"&lt;"&amp;$C$5+1,'Activity log'!$E$8:$E$257,"Buyer",'Activity log'!$L$8:$L$257,"Timing"))</x:f>
      </x:c>
      <x:c r="E38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log'!$L$8:$L$257,"Timing")+SUMIFS('Activity log'!$R$8:$R$257,'Activity log'!$H$8:$H$257,"No fit",'Activity log'!$B$8:$B$257,"&gt;="&amp;E$6,'Activity log'!$B$8:$B$257,"&lt;"&amp;E$6+7,'Activity log'!$B$8:$B$257,"&lt;"&amp;$C$5+1,'Activity log'!$E$8:$E$257,"Buyer",'Activity log'!$L$8:$L$257,"Timing"))</x:f>
      </x:c>
      <x:c r="F38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log'!$L$8:$L$257,"Timing")+SUMIFS('Activity log'!$R$8:$R$257,'Activity log'!$H$8:$H$257,"No fit",'Activity log'!$B$8:$B$257,"&gt;="&amp;F$6,'Activity log'!$B$8:$B$257,"&lt;"&amp;F$6+7,'Activity log'!$B$8:$B$257,"&lt;"&amp;$C$5+1,'Activity log'!$E$8:$E$257,"Buyer",'Activity log'!$L$8:$L$257,"Timing"))</x:f>
      </x:c>
      <x:c r="G38" s="30"/>
      <x:c r="H38" s="30"/>
      <x:c r="I38" s="30"/>
    </x:row>
    <x:row r="39" ht="23" customHeight="1">
      <x:c r="B39" s="30" t="str">
        <x:v>Existing solution</x:v>
      </x:c>
      <x:c r="C39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log'!$L$8:$L$257,"Existing solution")+SUMIFS('Activity log'!$R$8:$R$257,'Activity log'!$H$8:$H$257,"No fit",'Activity log'!$B$8:$B$257,"&gt;="&amp;C$6,'Activity log'!$B$8:$B$257,"&lt;"&amp;C$6+7,'Activity log'!$B$8:$B$257,"&lt;"&amp;$C$5+1,'Activity log'!$E$8:$E$257,"Buyer",'Activity log'!$L$8:$L$257,"Existing solution"))</x:f>
        <x:v>0</x:v>
      </x:c>
      <x:c r="D39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log'!$L$8:$L$257,"Existing solution")+SUMIFS('Activity log'!$R$8:$R$257,'Activity log'!$H$8:$H$257,"No fit",'Activity log'!$B$8:$B$257,"&gt;="&amp;D$6,'Activity log'!$B$8:$B$257,"&lt;"&amp;D$6+7,'Activity log'!$B$8:$B$257,"&lt;"&amp;$C$5+1,'Activity log'!$E$8:$E$257,"Buyer",'Activity log'!$L$8:$L$257,"Existing solution"))</x:f>
      </x:c>
      <x:c r="E39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log'!$L$8:$L$257,"Existing solution")+SUMIFS('Activity log'!$R$8:$R$257,'Activity log'!$H$8:$H$257,"No fit",'Activity log'!$B$8:$B$257,"&gt;="&amp;E$6,'Activity log'!$B$8:$B$257,"&lt;"&amp;E$6+7,'Activity log'!$B$8:$B$257,"&lt;"&amp;$C$5+1,'Activity log'!$E$8:$E$257,"Buyer",'Activity log'!$L$8:$L$257,"Existing solution"))</x:f>
      </x:c>
      <x:c r="F39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log'!$L$8:$L$257,"Existing solution")+SUMIFS('Activity log'!$R$8:$R$257,'Activity log'!$H$8:$H$257,"No fit",'Activity log'!$B$8:$B$257,"&gt;="&amp;F$6,'Activity log'!$B$8:$B$257,"&lt;"&amp;F$6+7,'Activity log'!$B$8:$B$257,"&lt;"&amp;$C$5+1,'Activity log'!$E$8:$E$257,"Buyer",'Activity log'!$L$8:$L$257,"Existing solution"))</x:f>
      </x:c>
      <x:c r="G39" s="30"/>
      <x:c r="H39" s="30"/>
      <x:c r="I39" s="30"/>
    </x:row>
    <x:row r="40" ht="23" customHeight="1">
      <x:c r="B40" s="30" t="str">
        <x:v>No response</x:v>
      </x:c>
      <x:c r="C40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response")+SUMIFS('Activity log'!$R$8:$R$257,'Activity log'!$H$8:$H$257,"No fit",'Activity log'!$B$8:$B$257,"&gt;="&amp;C$6,'Activity log'!$B$8:$B$257,"&lt;"&amp;C$6+7,'Activity log'!$B$8:$B$257,"&lt;"&amp;$C$5+1,'Activity log'!$E$8:$E$257,"Buyer",'Activity log'!$L$8:$L$257,"No response"))</x:f>
        <x:v>0</x:v>
      </x:c>
      <x:c r="D40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response")+SUMIFS('Activity log'!$R$8:$R$257,'Activity log'!$H$8:$H$257,"No fit",'Activity log'!$B$8:$B$257,"&gt;="&amp;D$6,'Activity log'!$B$8:$B$257,"&lt;"&amp;D$6+7,'Activity log'!$B$8:$B$257,"&lt;"&amp;$C$5+1,'Activity log'!$E$8:$E$257,"Buyer",'Activity log'!$L$8:$L$257,"No response"))</x:f>
      </x:c>
      <x:c r="E40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response")+SUMIFS('Activity log'!$R$8:$R$257,'Activity log'!$H$8:$H$257,"No fit",'Activity log'!$B$8:$B$257,"&gt;="&amp;E$6,'Activity log'!$B$8:$B$257,"&lt;"&amp;E$6+7,'Activity log'!$B$8:$B$257,"&lt;"&amp;$C$5+1,'Activity log'!$E$8:$E$257,"Buyer",'Activity log'!$L$8:$L$257,"No response"))</x:f>
      </x:c>
      <x:c r="F40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response")+SUMIFS('Activity log'!$R$8:$R$257,'Activity log'!$H$8:$H$257,"No fit",'Activity log'!$B$8:$B$257,"&gt;="&amp;F$6,'Activity log'!$B$8:$B$257,"&lt;"&amp;F$6+7,'Activity log'!$B$8:$B$257,"&lt;"&amp;$C$5+1,'Activity log'!$E$8:$E$257,"Buyer",'Activity log'!$L$8:$L$257,"No response"))</x:f>
      </x:c>
      <x:c r="G40" s="30"/>
      <x:c r="H40" s="30"/>
      <x:c r="I40" s="30"/>
    </x:row>
    <x:row r="41" ht="23" customHeight="1">
      <x:c r="B41" s="30" t="str">
        <x:v>Other</x:v>
      </x:c>
      <x:c r="C41" s="36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log'!$L$8:$L$257,"Other")+SUMIFS('Activity log'!$R$8:$R$257,'Activity log'!$H$8:$H$257,"No fit",'Activity log'!$B$8:$B$257,"&gt;="&amp;C$6,'Activity log'!$B$8:$B$257,"&lt;"&amp;C$6+7,'Activity log'!$B$8:$B$257,"&lt;"&amp;$C$5+1,'Activity log'!$E$8:$E$257,"Buyer",'Activity log'!$L$8:$L$257,"Other"))</x:f>
        <x:v>0</x:v>
      </x:c>
      <x:c r="D41" s="36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log'!$L$8:$L$257,"Other")+SUMIFS('Activity log'!$R$8:$R$257,'Activity log'!$H$8:$H$257,"No fit",'Activity log'!$B$8:$B$257,"&gt;="&amp;D$6,'Activity log'!$B$8:$B$257,"&lt;"&amp;D$6+7,'Activity log'!$B$8:$B$257,"&lt;"&amp;$C$5+1,'Activity log'!$E$8:$E$257,"Buyer",'Activity log'!$L$8:$L$257,"Other"))</x:f>
      </x:c>
      <x:c r="E41" s="36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log'!$L$8:$L$257,"Other")+SUMIFS('Activity log'!$R$8:$R$257,'Activity log'!$H$8:$H$257,"No fit",'Activity log'!$B$8:$B$257,"&gt;="&amp;E$6,'Activity log'!$B$8:$B$257,"&lt;"&amp;E$6+7,'Activity log'!$B$8:$B$257,"&lt;"&amp;$C$5+1,'Activity log'!$E$8:$E$257,"Buyer",'Activity log'!$L$8:$L$257,"Other"))</x:f>
      </x:c>
      <x:c r="F41" s="36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log'!$L$8:$L$257,"Other")+SUMIFS('Activity log'!$R$8:$R$257,'Activity log'!$H$8:$H$257,"No fit",'Activity log'!$B$8:$B$257,"&gt;="&amp;F$6,'Activity log'!$B$8:$B$257,"&lt;"&amp;F$6+7,'Activity log'!$B$8:$B$257,"&lt;"&amp;$C$5+1,'Activity log'!$E$8:$E$257,"Buyer",'Activity log'!$L$8:$L$257,"Other"))</x:f>
      </x:c>
      <x:c r="G41" s="30"/>
      <x:c r="H41" s="30"/>
      <x:c r="I41" s="30"/>
    </x:row>
    <x:row r="42" ht="23" customHeight="1">
      <x:c r="B42" s="30"/>
      <x:c r="C42" s="30"/>
      <x:c r="D42" s="30"/>
      <x:c r="E42" s="30"/>
      <x:c r="F42" s="30"/>
      <x:c r="G42" s="30"/>
      <x:c r="H42" s="30"/>
      <x:c r="I42" s="30"/>
    </x:row>
    <x:row r="43" ht="23" customHeight="1">
      <x:c r="B43" s="4" t="str">
        <x:v>Reason counts may include an objection and no-fit assessment for the same organisation.</x:v>
      </x:c>
      <x:c r="C43" s="30"/>
      <x:c r="D43" s="30"/>
      <x:c r="E43" s="30"/>
      <x:c r="F43" s="30"/>
      <x:c r="G43" s="30"/>
      <x:c r="H43" s="30"/>
      <x:c r="I43" s="30"/>
    </x:row>
    <x:row r="44" ht="23" customHeight="1">
      <x:c r="B44" s="30"/>
      <x:c r="C44" s="30"/>
      <x:c r="D44" s="30"/>
      <x:c r="E44" s="30"/>
      <x:c r="F44" s="30"/>
      <x:c r="G44" s="30"/>
      <x:c r="H44" s="30"/>
      <x:c r="I44" s="30"/>
    </x:row>
    <x:row r="45" ht="23" customHeight="1">
      <x:c r="B45" s="30" t="str">
        <x:v>Baseline finding</x:v>
      </x:c>
      <x:c r="C45" s="39" t="str">
        <x:v>No permissioned contacts; outreach has not begun.</x:v>
      </x:c>
      <x:c r="D45" s="40"/>
      <x:c r="E45" s="40"/>
      <x:c r="F45" s="40"/>
      <x:c r="G45" s="30"/>
      <x:c r="H45" s="30"/>
      <x:c r="I45" s="30"/>
    </x:row>
    <x:row r="46" ht="23" customHeight="1">
      <x:c r="B46" s="30" t="str">
        <x:v>Next decision</x:v>
      </x:c>
      <x:c r="C46" s="40" t="str">
        <x:v>Establish a welcomed conversation; retain the intake focus.</x:v>
      </x:c>
      <x:c r="D46" s="40"/>
      <x:c r="E46" s="40"/>
      <x:c r="F46" s="40"/>
      <x:c r="G46" s="30"/>
      <x:c r="H46" s="30"/>
      <x:c r="I46" s="30"/>
    </x:row>
    <x:row r="47" ht="23" customHeight="1">
      <x:c r="B47" s="30"/>
      <x:c r="C47" s="30"/>
      <x:c r="D47" s="30"/>
      <x:c r="E47" s="30"/>
      <x:c r="F47" s="30"/>
      <x:c r="G47" s="30"/>
      <x:c r="H47" s="30"/>
      <x:c r="I47" s="30"/>
    </x:row>
    <x:row r="48" ht="42" customHeight="1">
      <x:c r="B48" s="34" t="str">
        <x:v>Operating setup</x:v>
      </x:c>
      <x:c r="C48" s="34" t="str">
        <x:v>Value</x:v>
      </x:c>
      <x:c r="D48" s="30"/>
      <x:c r="E48" s="30"/>
      <x:c r="F48" s="30"/>
      <x:c r="G48" s="30"/>
      <x:c r="H48" s="30"/>
      <x:c r="I48" s="30"/>
    </x:row>
    <x:row r="49" ht="23" customHeight="1">
      <x:c r="B49" s="30" t="str">
        <x:v>Live outreach record location</x:v>
      </x:c>
      <x:c r="C49" s="40" t="str">
        <x:v>https://drive.google.com/drive/folders/1Z08mRSvuUwICz8ISi-Fv6ZLqCB6tIW-p</x:v>
      </x:c>
      <x:c r="D49" s="30"/>
      <x:c r="E49" s="30"/>
      <x:c r="F49" s="30"/>
      <x:c r="G49" s="30"/>
      <x:c r="H49" s="30"/>
      <x:c r="I49" s="30"/>
    </x:row>
    <x:row r="50" ht="23" customHeight="1">
      <x:c r="B50" s="30" t="str">
        <x:v>Fit-call operator</x:v>
      </x:c>
      <x:c r="C50" s="40" t="str">
        <x:v>Janith — owner confirmed 15 Sep</x:v>
      </x:c>
      <x:c r="D50" s="30"/>
      <x:c r="E50" s="30"/>
      <x:c r="F50" s="30"/>
      <x:c r="G50" s="30"/>
      <x:c r="H50" s="30"/>
      <x:c r="I50" s="30"/>
    </x:row>
    <x:row r="51" ht="23" customHeight="1">
      <x:c r="B51" s="30" t="str">
        <x:v>Confirmed availability</x:v>
      </x:c>
      <x:c r="C51" s="40" t="str">
        <x:v>Mon–Fri 3–5 pm; Sat 9 am–1 pm (Sydney)</x:v>
      </x:c>
      <x:c r="D51" s="30"/>
      <x:c r="E51" s="30"/>
      <x:c r="F51" s="30"/>
      <x:c r="G51" s="30"/>
      <x:c r="H51" s="30"/>
      <x:c r="I51" s="30"/>
    </x:row>
    <x:row r="52" ht="23" customHeight="1">
      <x:c r="B52" s="30" t="str">
        <x:v>Fit-call backup</x:v>
      </x:c>
      <x:c r="C52" s="40" t="str">
        <x:v>Rochelle — Mon–Fri 1–5 pm (Sydney)</x:v>
      </x:c>
      <x:c r="D52" s="30"/>
      <x:c r="E52" s="30"/>
      <x:c r="F52" s="30"/>
      <x:c r="G52" s="30"/>
      <x:c r="H52" s="30"/>
      <x:c r="I52" s="30"/>
    </x:row>
    <x:row r="53" ht="23" customHeight="1">
      <x:c r="B53" s="30" t="str">
        <x:v>Outreach operator</x:v>
      </x:c>
      <x:c r="C53" s="40"/>
      <x:c r="D53" s="30"/>
      <x:c r="E53" s="30"/>
      <x:c r="F53" s="30"/>
      <x:c r="G53" s="30"/>
      <x:c r="H53" s="30"/>
      <x:c r="I53" s="30"/>
    </x:row>
    <x:row r="54" ht="23" customHeight="1">
      <x:c r="B54" s="30" t="str">
        <x:v>Weekly review owner</x:v>
      </x:c>
      <x:c r="C54" s="40"/>
      <x:c r="D54" s="30"/>
      <x:c r="E54" s="30"/>
      <x:c r="F54" s="30"/>
      <x:c r="G54" s="30"/>
      <x:c r="H54" s="30"/>
      <x:c r="I54" s="30"/>
    </x:row>
    <x:row r="55" ht="23" customHeight="1">
      <x:c r="B55" s="30" t="str">
        <x:v>Prepared workbook state</x:v>
      </x:c>
      <x:c r="C55" s="30" t="str">
        <x:v>Public research and blank live-event fields</x:v>
      </x:c>
      <x:c r="D55" s="30"/>
      <x:c r="E55" s="30"/>
      <x:c r="F55" s="30"/>
      <x:c r="G55" s="30"/>
      <x:c r="H55" s="30"/>
      <x:c r="I55" s="30"/>
    </x:row>
    <x:row r="56" ht="23" customHeight="1">
      <x:c r="B56" s="30" t="str">
        <x:v>Live contract records</x:v>
      </x:c>
      <x:c r="C56" s="30" t="str">
        <x:v>https://drive.google.com/drive/folders/1YKZgZ5aTUs0zvKmXpg7hGJeRzYV_ROxH</x:v>
      </x:c>
      <x:c r="D56" s="30"/>
      <x:c r="E56" s="30"/>
      <x:c r="F56" s="30"/>
      <x:c r="G56" s="30"/>
      <x:c r="H56" s="30"/>
      <x:c r="I56" s="30"/>
    </x:row>
    <x:row r="57" ht="23" customHeight="1">
      <x:c r="B57" s="30" t="str">
        <x:v>Remaining setup</x:v>
      </x:c>
      <x:c r="C57" s="41" t="str">
        <x:f>IF(C49="","Confirm outreach record scope/location. ","")&amp;IF(C51="","Confirm fit-call availability. ","")&amp;IF(C52="","Name fit-call backup. ","")&amp;IF(C53="","Name outreach operator. ","")&amp;IF(C54="","Name weekly review owner. ","")</x:f>
        <x:v>Name outreach operator. Name weekly review owner. </x:v>
      </x:c>
      <x:c r="D57" s="30"/>
      <x:c r="E57" s="30"/>
      <x:c r="F57" s="30"/>
      <x:c r="G57" s="30"/>
      <x:c r="H57" s="30"/>
      <x:c r="I57" s="30"/>
    </x:row>
    <x:row r="58" ht="23" customHeight="1">
      <x:c r="B58" s="4" t="str">
        <x:v>Keep live contacts/consent outside Git. Amber cells are editable inputs.</x:v>
      </x:c>
      <x:c r="C58" s="30"/>
      <x:c r="D58" s="30"/>
      <x:c r="E58" s="30"/>
      <x:c r="F58" s="30"/>
      <x:c r="G58" s="30"/>
      <x:c r="H58" s="30"/>
      <x:c r="I58" s="30"/>
    </x:row>
  </x:sheetData>
  <x:conditionalFormatting sqref="I23:I23">
    <x:cfRule type="cellIs" dxfId="0" priority="1" operator="greaterThan">
      <x:formula>0</x:formula>
    </x:cfRule>
  </x:conditionalFormatting>
  <x:dataValidations count="1">
    <x:dataValidation type="list" sqref="C7:F7">
      <x:formula1>"Not reviewed,Baseline confirmed,Reviewed"</x:formula1>
    </x:dataValidation>
  </x:dataValidations>
  <x:pageMargins left="0.7" right="0.7" top="0.75" bottom="0.75" header="0.3" footer="0.3"/>
  <x:drawing xmlns:r="http://schemas.openxmlformats.org/officeDocument/2006/relationships" r:id="Re7ca3ae3c74d4f8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7" hidden="0" customWidth="1"/>
    <x:col min="5" max="5" width="13" hidden="0" customWidth="1"/>
    <x:col min="6" max="6" width="26" hidden="0" customWidth="1"/>
    <x:col min="7" max="7" width="20" hidden="0" customWidth="1"/>
    <x:col min="8" max="8" width="23" hidden="0" customWidth="1"/>
    <x:col min="9" max="9" width="18" hidden="0" customWidth="1"/>
    <x:col min="10" max="10" width="19" hidden="0" customWidth="1"/>
    <x:col min="11" max="11" width="37" hidden="0" customWidth="1"/>
    <x:col min="12" max="12" width="22" hidden="0" customWidth="1"/>
    <x:col min="13" max="13" width="49" hidden="0" customWidth="1"/>
    <x:col min="14" max="14" width="20" hidden="0" customWidth="1"/>
    <x:col min="15" max="15" width="13" hidden="0" customWidth="1"/>
    <x:col min="16" max="16" width="62" hidden="0" customWidth="1"/>
    <x:col min="17" max="17" width="35" hidden="0" customWidth="1"/>
    <x:col min="18" max="18" width="17" hidden="0" customWidth="1"/>
    <x:col min="19" max="19" width="19" hidden="0" customWidth="1"/>
    <x:col min="20" max="20" width="27" hidden="0" customWidth="1"/>
    <x:col min="21" max="21" width="36" hidden="0" customWidth="1"/>
    <x:col min="22" max="22" width="60" hidden="0" customWidth="1"/>
  </x:cols>
  <x:sheetData>
    <x:row r="2" ht="23" customHeight="1">
      <x:c r="A2" s="30"/>
      <x:c r="B2" s="29" t="str">
        <x:v>Outreach activity log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</x:row>
    <x:row r="3" ht="23" customHeight="1">
      <x:c r="A3" s="30" t="str">
        <x:v>One row per event. Record actual Sydney dates. First contacts require reviewed permission and evidence.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</x:row>
    <x:row r="4" ht="23" customHeight="1">
      <x:c r="A4" s="30" t="str">
        <x:v>Use the Google Sheet in hello@heutrix.com.au’s Outreach folder for live events. Local files remain public-research templates. Capacity: 250 event rows.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</x:row>
    <x:row r="5" ht="23" customHeight="1">
      <x:c r="A5" s="30" t="str">
        <x:v>For positive interest, record Reply and Positive reply. Use opaque contact tokens; keep identifiable evidence in the approved system.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</x:row>
    <x:row r="6" ht="23" customHeight="1">
      <x:c r="A6" s="30" t="str">
        <x:v>First milestones count once per recipient or organisation. Earliest valid date wins; reconcile the first row for equal-date duplicates.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</x:row>
    <x:row r="7" ht="42" customHeight="1">
      <x:c r="A7" s="34" t="str">
        <x:v>Record ID</x:v>
      </x:c>
      <x:c r="B7" s="34" t="str">
        <x:v>Sydney date</x:v>
      </x:c>
      <x:c r="C7" s="34" t="str">
        <x:v>Organisation ID</x:v>
      </x:c>
      <x:c r="D7" s="34" t="str">
        <x:v>Contact token</x:v>
      </x:c>
      <x:c r="E7" s="34" t="str">
        <x:v>Audience</x:v>
      </x:c>
      <x:c r="F7" s="34" t="str">
        <x:v>Relationship origin</x:v>
      </x:c>
      <x:c r="G7" s="34" t="str">
        <x:v>Delivery channel</x:v>
      </x:c>
      <x:c r="H7" s="34" t="str">
        <x:v>Event type</x:v>
      </x:c>
      <x:c r="I7" s="34" t="str">
        <x:v>Message version</x:v>
      </x:c>
      <x:c r="J7" s="34" t="str">
        <x:v>Fit decision</x:v>
      </x:c>
      <x:c r="K7" s="34" t="str">
        <x:v>Product route</x:v>
      </x:c>
      <x:c r="L7" s="34" t="str">
        <x:v>Reason code</x:v>
      </x:c>
      <x:c r="M7" s="34" t="str">
        <x:v>Next action</x:v>
      </x:c>
      <x:c r="N7" s="34" t="str">
        <x:v>Action owner</x:v>
      </x:c>
      <x:c r="O7" s="34" t="str">
        <x:v>Due date</x:v>
      </x:c>
      <x:c r="P7" s="34" t="str">
        <x:v>Evidence reference</x:v>
      </x:c>
      <x:c r="Q7" s="34" t="str">
        <x:v>Counting key</x:v>
      </x:c>
      <x:c r="R7" s="34" t="str">
        <x:v>Counted event</x:v>
      </x:c>
      <x:c r="S7" s="34" t="str">
        <x:v>Input status</x:v>
      </x:c>
      <x:c r="T7" s="34" t="str">
        <x:v>Permission status</x:v>
      </x:c>
      <x:c r="U7" s="34" t="str">
        <x:v>Permission scope</x:v>
      </x:c>
      <x:c r="V7" s="34" t="str">
        <x:v>Permission evidence</x:v>
      </x:c>
    </x:row>
    <x:row r="8" ht="23" customHeight="1">
      <x:c r="A8" s="42" t="str">
        <x:v>R-001</x:v>
      </x:c>
      <x:c r="B8" s="43" t="n">
        <x:v>46280</x:v>
      </x:c>
      <x:c r="C8" s="42" t="str">
        <x:v>H001</x:v>
      </x:c>
      <x:c r="D8" s="42"/>
      <x:c r="E8" s="42" t="str">
        <x:v>Buyer</x:v>
      </x:c>
      <x:c r="F8" s="42" t="str">
        <x:v>Public research</x:v>
      </x:c>
      <x:c r="G8" s="42" t="str">
        <x:v>Website</x:v>
      </x:c>
      <x:c r="H8" s="42" t="str">
        <x:v>Research</x:v>
      </x:c>
      <x:c r="I8" s="42" t="str">
        <x:v>IM-01</x:v>
      </x:c>
      <x:c r="J8" s="42" t="str">
        <x:v>Not assessed</x:v>
      </x:c>
      <x:c r="K8" s="42"/>
      <x:c r="L8" s="42"/>
      <x:c r="M8" s="42" t="str">
        <x:v>Establish a permitted introduction or opt-in</x:v>
      </x:c>
      <x:c r="N8" s="42"/>
      <x:c r="O8" s="43"/>
      <x:c r="P8" s="42" t="str">
        <x:v>https://interactionservices.org/</x:v>
      </x:c>
      <x:c r="Q8" s="44" t="str">
        <x:f>IF(A8="","",IF(OR(H8="First contact",H8="Reply",H8="Positive reply",H8="Permission confirmed"),"C|"&amp;D8&amp;"|"&amp;H8,"O|"&amp;C8&amp;"|"&amp;H8))</x:f>
        <x:v>O|H001|Research</x:v>
      </x:c>
      <x:c r="R8" s="44" t="n">
        <x:f>IF(A8="","",IF(S8&lt;&gt;"Ready","Incomplete",IF(COUNTIFS($Q$8:$Q$257,Q8,$S$8:$S$257,"Ready",$B$8:$B$257,"&lt;"&amp;B8)&gt;0,0,IF(COUNTIFS($Q$8:Q8,Q8,$S$8:S8,"Ready",$B$8:B8,B8)=1,1,0))))</x:f>
        <x:v>1</x:v>
      </x:c>
      <x:c r="S8" s="44" t="str">
        <x:f>IF(A8="","",IF(COUNTIFS($A$8:$A$257,A8)&gt;1,"Duplicate ID",IF(OR(NOT(ISNUMBER(B8)),C8="",E8="",H8="",P8="",AND(OR(H8="First contact",H8="Reply",H8="Positive reply",H8="Permission confirmed"),D8=""),AND(OR(H8="First contact",H8="Permission confirmed"),OR(T8&lt;&gt;"Reviewed and confirmed",U8="",V8="")),AND(H8="Fit qualified",OR(J8&lt;&gt;"Qualified",K8="",M8="",N8="",NOT(ISNUMBER(O8)))),AND(H8="Route recommended",K8=""),AND(OR(H8="Objection",H8="No fit",H8="Lost"),L8="")),"Incomplete","Ready")))</x:f>
        <x:v>Ready</x:v>
      </x:c>
      <x:c r="T8" s="42" t="str">
        <x:v>None</x:v>
      </x:c>
      <x:c r="U8" s="42"/>
      <x:c r="V8" s="42"/>
    </x:row>
    <x:row r="9" ht="23" customHeight="1">
      <x:c r="A9" s="42" t="str">
        <x:v>R-002</x:v>
      </x:c>
      <x:c r="B9" s="43" t="n">
        <x:v>46280</x:v>
      </x:c>
      <x:c r="C9" s="42" t="str">
        <x:v>H002</x:v>
      </x:c>
      <x:c r="D9" s="42"/>
      <x:c r="E9" s="42" t="str">
        <x:v>Buyer</x:v>
      </x:c>
      <x:c r="F9" s="42" t="str">
        <x:v>Public research</x:v>
      </x:c>
      <x:c r="G9" s="42" t="str">
        <x:v>Website</x:v>
      </x:c>
      <x:c r="H9" s="42" t="str">
        <x:v>Research</x:v>
      </x:c>
      <x:c r="I9" s="42" t="str">
        <x:v>IM-01</x:v>
      </x:c>
      <x:c r="J9" s="42" t="str">
        <x:v>Not assessed</x:v>
      </x:c>
      <x:c r="K9" s="42"/>
      <x:c r="L9" s="42"/>
      <x:c r="M9" s="42" t="str">
        <x:v>Establish a permitted introduction or opt-in</x:v>
      </x:c>
      <x:c r="N9" s="42"/>
      <x:c r="O9" s="43"/>
      <x:c r="P9" s="42" t="str">
        <x:v>https://www.nwds.org.au/</x:v>
      </x:c>
      <x:c r="Q9" s="44" t="str">
        <x:f>IF(A9="","",IF(OR(H9="First contact",H9="Reply",H9="Positive reply",H9="Permission confirmed"),"C|"&amp;D9&amp;"|"&amp;H9,"O|"&amp;C9&amp;"|"&amp;H9))</x:f>
        <x:v>O|H002|Research</x:v>
      </x:c>
      <x:c r="R9" s="44" t="n">
        <x:f>IF(A9="","",IF(S9&lt;&gt;"Ready","Incomplete",IF(COUNTIFS($Q$8:$Q$257,Q9,$S$8:$S$257,"Ready",$B$8:$B$257,"&lt;"&amp;B9)&gt;0,0,IF(COUNTIFS($Q$8:Q9,Q9,$S$8:S9,"Ready",$B$8:B9,B9)=1,1,0))))</x:f>
        <x:v>1</x:v>
      </x:c>
      <x:c r="S9" s="44" t="str">
        <x:f>IF(A9="","",IF(COUNTIFS($A$8:$A$257,A9)&gt;1,"Duplicate ID",IF(OR(NOT(ISNUMBER(B9)),C9="",E9="",H9="",P9="",AND(OR(H9="First contact",H9="Reply",H9="Positive reply",H9="Permission confirmed"),D9=""),AND(OR(H9="First contact",H9="Permission confirmed"),OR(T9&lt;&gt;"Reviewed and confirmed",U9="",V9="")),AND(H9="Fit qualified",OR(J9&lt;&gt;"Qualified",K9="",M9="",N9="",NOT(ISNUMBER(O9)))),AND(H9="Route recommended",K9=""),AND(OR(H9="Objection",H9="No fit",H9="Lost"),L9="")),"Incomplete","Ready")))</x:f>
        <x:v>Ready</x:v>
      </x:c>
      <x:c r="T9" s="42" t="str">
        <x:v>None</x:v>
      </x:c>
      <x:c r="U9" s="42"/>
      <x:c r="V9" s="42"/>
    </x:row>
    <x:row r="10" ht="23" customHeight="1">
      <x:c r="A10" s="42" t="str">
        <x:v>R-003</x:v>
      </x:c>
      <x:c r="B10" s="43" t="n">
        <x:v>46280</x:v>
      </x:c>
      <x:c r="C10" s="42" t="str">
        <x:v>H003</x:v>
      </x:c>
      <x:c r="D10" s="42"/>
      <x:c r="E10" s="42" t="str">
        <x:v>Buyer</x:v>
      </x:c>
      <x:c r="F10" s="42" t="str">
        <x:v>Public research</x:v>
      </x:c>
      <x:c r="G10" s="42" t="str">
        <x:v>Website</x:v>
      </x:c>
      <x:c r="H10" s="42" t="str">
        <x:v>Research</x:v>
      </x:c>
      <x:c r="I10" s="42" t="str">
        <x:v>IM-01</x:v>
      </x:c>
      <x:c r="J10" s="42" t="str">
        <x:v>Not assessed</x:v>
      </x:c>
      <x:c r="K10" s="42"/>
      <x:c r="L10" s="42"/>
      <x:c r="M10" s="42" t="str">
        <x:v>Establish a permitted introduction or opt-in</x:v>
      </x:c>
      <x:c r="N10" s="42"/>
      <x:c r="O10" s="43"/>
      <x:c r="P10" s="42" t="str">
        <x:v>https://www.thorndale.com.au/</x:v>
      </x:c>
      <x:c r="Q10" s="44" t="str">
        <x:f>IF(A10="","",IF(OR(H10="First contact",H10="Reply",H10="Positive reply",H10="Permission confirmed"),"C|"&amp;D10&amp;"|"&amp;H10,"O|"&amp;C10&amp;"|"&amp;H10))</x:f>
        <x:v>O|H003|Research</x:v>
      </x:c>
      <x:c r="R10" s="44" t="n">
        <x:f>IF(A10="","",IF(S10&lt;&gt;"Ready","Incomplete",IF(COUNTIFS($Q$8:$Q$257,Q10,$S$8:$S$257,"Ready",$B$8:$B$257,"&lt;"&amp;B10)&gt;0,0,IF(COUNTIFS($Q$8:Q10,Q10,$S$8:S10,"Ready",$B$8:B10,B10)=1,1,0))))</x:f>
        <x:v>1</x:v>
      </x:c>
      <x:c r="S10" s="44" t="str">
        <x:f>IF(A10="","",IF(COUNTIFS($A$8:$A$257,A10)&gt;1,"Duplicate ID",IF(OR(NOT(ISNUMBER(B10)),C10="",E10="",H10="",P10="",AND(OR(H10="First contact",H10="Reply",H10="Positive reply",H10="Permission confirmed"),D10=""),AND(OR(H10="First contact",H10="Permission confirmed"),OR(T10&lt;&gt;"Reviewed and confirmed",U10="",V10="")),AND(H10="Fit qualified",OR(J10&lt;&gt;"Qualified",K10="",M10="",N10="",NOT(ISNUMBER(O10)))),AND(H10="Route recommended",K10=""),AND(OR(H10="Objection",H10="No fit",H10="Lost"),L10="")),"Incomplete","Ready")))</x:f>
        <x:v>Ready</x:v>
      </x:c>
      <x:c r="T10" s="42" t="str">
        <x:v>None</x:v>
      </x:c>
      <x:c r="U10" s="42"/>
      <x:c r="V10" s="42"/>
    </x:row>
    <x:row r="11" ht="23" customHeight="1">
      <x:c r="A11" s="42" t="str">
        <x:v>R-004</x:v>
      </x:c>
      <x:c r="B11" s="43" t="n">
        <x:v>46280</x:v>
      </x:c>
      <x:c r="C11" s="42" t="str">
        <x:v>H004</x:v>
      </x:c>
      <x:c r="D11" s="42"/>
      <x:c r="E11" s="42" t="str">
        <x:v>Buyer</x:v>
      </x:c>
      <x:c r="F11" s="42" t="str">
        <x:v>Public research</x:v>
      </x:c>
      <x:c r="G11" s="42" t="str">
        <x:v>Website</x:v>
      </x:c>
      <x:c r="H11" s="42" t="str">
        <x:v>Research</x:v>
      </x:c>
      <x:c r="I11" s="42" t="str">
        <x:v>IM-01</x:v>
      </x:c>
      <x:c r="J11" s="42" t="str">
        <x:v>Not assessed</x:v>
      </x:c>
      <x:c r="K11" s="42"/>
      <x:c r="L11" s="42"/>
      <x:c r="M11" s="42" t="str">
        <x:v>Establish a permitted introduction or opt-in</x:v>
      </x:c>
      <x:c r="N11" s="42"/>
      <x:c r="O11" s="43"/>
      <x:c r="P11" s="42" t="str">
        <x:v>https://www.daredisability.org.au/</x:v>
      </x:c>
      <x:c r="Q11" s="44" t="str">
        <x:f>IF(A11="","",IF(OR(H11="First contact",H11="Reply",H11="Positive reply",H11="Permission confirmed"),"C|"&amp;D11&amp;"|"&amp;H11,"O|"&amp;C11&amp;"|"&amp;H11))</x:f>
        <x:v>O|H004|Research</x:v>
      </x:c>
      <x:c r="R11" s="44" t="n">
        <x:f>IF(A11="","",IF(S11&lt;&gt;"Ready","Incomplete",IF(COUNTIFS($Q$8:$Q$257,Q11,$S$8:$S$257,"Ready",$B$8:$B$257,"&lt;"&amp;B11)&gt;0,0,IF(COUNTIFS($Q$8:Q11,Q11,$S$8:S11,"Ready",$B$8:B11,B11)=1,1,0))))</x:f>
        <x:v>1</x:v>
      </x:c>
      <x:c r="S11" s="44" t="str">
        <x:f>IF(A11="","",IF(COUNTIFS($A$8:$A$257,A11)&gt;1,"Duplicate ID",IF(OR(NOT(ISNUMBER(B11)),C11="",E11="",H11="",P11="",AND(OR(H11="First contact",H11="Reply",H11="Positive reply",H11="Permission confirmed"),D11=""),AND(OR(H11="First contact",H11="Permission confirmed"),OR(T11&lt;&gt;"Reviewed and confirmed",U11="",V11="")),AND(H11="Fit qualified",OR(J11&lt;&gt;"Qualified",K11="",M11="",N11="",NOT(ISNUMBER(O11)))),AND(H11="Route recommended",K11=""),AND(OR(H11="Objection",H11="No fit",H11="Lost"),L11="")),"Incomplete","Ready")))</x:f>
        <x:v>Ready</x:v>
      </x:c>
      <x:c r="T11" s="42" t="str">
        <x:v>None</x:v>
      </x:c>
      <x:c r="U11" s="42"/>
      <x:c r="V11" s="42"/>
    </x:row>
    <x:row r="12" ht="23" customHeight="1">
      <x:c r="A12" s="42" t="str">
        <x:v>R-005</x:v>
      </x:c>
      <x:c r="B12" s="43" t="n">
        <x:v>46280</x:v>
      </x:c>
      <x:c r="C12" s="42" t="str">
        <x:v>H005</x:v>
      </x:c>
      <x:c r="D12" s="42"/>
      <x:c r="E12" s="42" t="str">
        <x:v>Buyer</x:v>
      </x:c>
      <x:c r="F12" s="42" t="str">
        <x:v>Public research</x:v>
      </x:c>
      <x:c r="G12" s="42" t="str">
        <x:v>Website</x:v>
      </x:c>
      <x:c r="H12" s="42" t="str">
        <x:v>Research</x:v>
      </x:c>
      <x:c r="I12" s="42" t="str">
        <x:v>IM-01</x:v>
      </x:c>
      <x:c r="J12" s="42" t="str">
        <x:v>Not assessed</x:v>
      </x:c>
      <x:c r="K12" s="42"/>
      <x:c r="L12" s="42"/>
      <x:c r="M12" s="42" t="str">
        <x:v>Establish a permitted introduction or opt-in</x:v>
      </x:c>
      <x:c r="N12" s="42"/>
      <x:c r="O12" s="43"/>
      <x:c r="P12" s="42" t="str">
        <x:v>https://newhavenfarm.org.au/</x:v>
      </x:c>
      <x:c r="Q12" s="44" t="str">
        <x:f>IF(A12="","",IF(OR(H12="First contact",H12="Reply",H12="Positive reply",H12="Permission confirmed"),"C|"&amp;D12&amp;"|"&amp;H12,"O|"&amp;C12&amp;"|"&amp;H12))</x:f>
        <x:v>O|H005|Research</x:v>
      </x:c>
      <x:c r="R12" s="44" t="n">
        <x:f>IF(A12="","",IF(S12&lt;&gt;"Ready","Incomplete",IF(COUNTIFS($Q$8:$Q$257,Q12,$S$8:$S$257,"Ready",$B$8:$B$257,"&lt;"&amp;B12)&gt;0,0,IF(COUNTIFS($Q$8:Q12,Q12,$S$8:S12,"Ready",$B$8:B12,B12)=1,1,0))))</x:f>
        <x:v>1</x:v>
      </x:c>
      <x:c r="S12" s="44" t="str">
        <x:f>IF(A12="","",IF(COUNTIFS($A$8:$A$257,A12)&gt;1,"Duplicate ID",IF(OR(NOT(ISNUMBER(B12)),C12="",E12="",H12="",P12="",AND(OR(H12="First contact",H12="Reply",H12="Positive reply",H12="Permission confirmed"),D12=""),AND(OR(H12="First contact",H12="Permission confirmed"),OR(T12&lt;&gt;"Reviewed and confirmed",U12="",V12="")),AND(H12="Fit qualified",OR(J12&lt;&gt;"Qualified",K12="",M12="",N12="",NOT(ISNUMBER(O12)))),AND(H12="Route recommended",K12=""),AND(OR(H12="Objection",H12="No fit",H12="Lost"),L12="")),"Incomplete","Ready")))</x:f>
        <x:v>Ready</x:v>
      </x:c>
      <x:c r="T12" s="42" t="str">
        <x:v>None</x:v>
      </x:c>
      <x:c r="U12" s="42"/>
      <x:c r="V12" s="42"/>
    </x:row>
    <x:row r="13" ht="23" customHeight="1">
      <x:c r="A13" s="42" t="str">
        <x:v>R-006</x:v>
      </x:c>
      <x:c r="B13" s="43" t="n">
        <x:v>46280</x:v>
      </x:c>
      <x:c r="C13" s="42" t="str">
        <x:v>H006</x:v>
      </x:c>
      <x:c r="D13" s="42"/>
      <x:c r="E13" s="42" t="str">
        <x:v>Buyer</x:v>
      </x:c>
      <x:c r="F13" s="42" t="str">
        <x:v>Public research</x:v>
      </x:c>
      <x:c r="G13" s="42" t="str">
        <x:v>Website</x:v>
      </x:c>
      <x:c r="H13" s="42" t="str">
        <x:v>Research</x:v>
      </x:c>
      <x:c r="I13" s="42" t="str">
        <x:v>IM-01</x:v>
      </x:c>
      <x:c r="J13" s="42" t="str">
        <x:v>Not assessed</x:v>
      </x:c>
      <x:c r="K13" s="42"/>
      <x:c r="L13" s="42"/>
      <x:c r="M13" s="42" t="str">
        <x:v>Establish a permitted introduction or opt-in</x:v>
      </x:c>
      <x:c r="N13" s="42"/>
      <x:c r="O13" s="43"/>
      <x:c r="P13" s="42" t="str">
        <x:v>https://woodville.org.au/for-families/disability-services/</x:v>
      </x:c>
      <x:c r="Q13" s="44" t="str">
        <x:f>IF(A13="","",IF(OR(H13="First contact",H13="Reply",H13="Positive reply",H13="Permission confirmed"),"C|"&amp;D13&amp;"|"&amp;H13,"O|"&amp;C13&amp;"|"&amp;H13))</x:f>
        <x:v>O|H006|Research</x:v>
      </x:c>
      <x:c r="R13" s="44" t="n">
        <x:f>IF(A13="","",IF(S13&lt;&gt;"Ready","Incomplete",IF(COUNTIFS($Q$8:$Q$257,Q13,$S$8:$S$257,"Ready",$B$8:$B$257,"&lt;"&amp;B13)&gt;0,0,IF(COUNTIFS($Q$8:Q13,Q13,$S$8:S13,"Ready",$B$8:B13,B13)=1,1,0))))</x:f>
        <x:v>1</x:v>
      </x:c>
      <x:c r="S13" s="44" t="str">
        <x:f>IF(A13="","",IF(COUNTIFS($A$8:$A$257,A13)&gt;1,"Duplicate ID",IF(OR(NOT(ISNUMBER(B13)),C13="",E13="",H13="",P13="",AND(OR(H13="First contact",H13="Reply",H13="Positive reply",H13="Permission confirmed"),D13=""),AND(OR(H13="First contact",H13="Permission confirmed"),OR(T13&lt;&gt;"Reviewed and confirmed",U13="",V13="")),AND(H13="Fit qualified",OR(J13&lt;&gt;"Qualified",K13="",M13="",N13="",NOT(ISNUMBER(O13)))),AND(H13="Route recommended",K13=""),AND(OR(H13="Objection",H13="No fit",H13="Lost"),L13="")),"Incomplete","Ready")))</x:f>
        <x:v>Ready</x:v>
      </x:c>
      <x:c r="T13" s="42" t="str">
        <x:v>None</x:v>
      </x:c>
      <x:c r="U13" s="42"/>
      <x:c r="V13" s="42"/>
    </x:row>
    <x:row r="14" ht="23" customHeight="1">
      <x:c r="A14" s="42" t="str">
        <x:v>R-007</x:v>
      </x:c>
      <x:c r="B14" s="43" t="n">
        <x:v>46280</x:v>
      </x:c>
      <x:c r="C14" s="42" t="str">
        <x:v>H007</x:v>
      </x:c>
      <x:c r="D14" s="42"/>
      <x:c r="E14" s="42" t="str">
        <x:v>Buyer</x:v>
      </x:c>
      <x:c r="F14" s="42" t="str">
        <x:v>Public research</x:v>
      </x:c>
      <x:c r="G14" s="42" t="str">
        <x:v>Website</x:v>
      </x:c>
      <x:c r="H14" s="42" t="str">
        <x:v>Research</x:v>
      </x:c>
      <x:c r="I14" s="42" t="str">
        <x:v>IM-01</x:v>
      </x:c>
      <x:c r="J14" s="42" t="str">
        <x:v>Not assessed</x:v>
      </x:c>
      <x:c r="K14" s="42"/>
      <x:c r="L14" s="42"/>
      <x:c r="M14" s="42" t="str">
        <x:v>Establish a permitted introduction or opt-in</x:v>
      </x:c>
      <x:c r="N14" s="42"/>
      <x:c r="O14" s="43"/>
      <x:c r="P14" s="42" t="str">
        <x:v>https://nado.org.au/supported-independent-living/</x:v>
      </x:c>
      <x:c r="Q14" s="44" t="str">
        <x:f>IF(A14="","",IF(OR(H14="First contact",H14="Reply",H14="Positive reply",H14="Permission confirmed"),"C|"&amp;D14&amp;"|"&amp;H14,"O|"&amp;C14&amp;"|"&amp;H14))</x:f>
        <x:v>O|H007|Research</x:v>
      </x:c>
      <x:c r="R14" s="44" t="n">
        <x:f>IF(A14="","",IF(S14&lt;&gt;"Ready","Incomplete",IF(COUNTIFS($Q$8:$Q$257,Q14,$S$8:$S$257,"Ready",$B$8:$B$257,"&lt;"&amp;B14)&gt;0,0,IF(COUNTIFS($Q$8:Q14,Q14,$S$8:S14,"Ready",$B$8:B14,B14)=1,1,0))))</x:f>
        <x:v>1</x:v>
      </x:c>
      <x:c r="S14" s="44" t="str">
        <x:f>IF(A14="","",IF(COUNTIFS($A$8:$A$257,A14)&gt;1,"Duplicate ID",IF(OR(NOT(ISNUMBER(B14)),C14="",E14="",H14="",P14="",AND(OR(H14="First contact",H14="Reply",H14="Positive reply",H14="Permission confirmed"),D14=""),AND(OR(H14="First contact",H14="Permission confirmed"),OR(T14&lt;&gt;"Reviewed and confirmed",U14="",V14="")),AND(H14="Fit qualified",OR(J14&lt;&gt;"Qualified",K14="",M14="",N14="",NOT(ISNUMBER(O14)))),AND(H14="Route recommended",K14=""),AND(OR(H14="Objection",H14="No fit",H14="Lost"),L14="")),"Incomplete","Ready")))</x:f>
        <x:v>Ready</x:v>
      </x:c>
      <x:c r="T14" s="42" t="str">
        <x:v>None</x:v>
      </x:c>
      <x:c r="U14" s="42"/>
      <x:c r="V14" s="42"/>
    </x:row>
    <x:row r="15" ht="23" customHeight="1">
      <x:c r="A15" s="42" t="str">
        <x:v>R-008</x:v>
      </x:c>
      <x:c r="B15" s="43" t="n">
        <x:v>46280</x:v>
      </x:c>
      <x:c r="C15" s="42" t="str">
        <x:v>H008</x:v>
      </x:c>
      <x:c r="D15" s="42"/>
      <x:c r="E15" s="42" t="str">
        <x:v>Buyer</x:v>
      </x:c>
      <x:c r="F15" s="42" t="str">
        <x:v>Public research</x:v>
      </x:c>
      <x:c r="G15" s="42" t="str">
        <x:v>Website</x:v>
      </x:c>
      <x:c r="H15" s="42" t="str">
        <x:v>Research</x:v>
      </x:c>
      <x:c r="I15" s="42" t="str">
        <x:v>IM-01</x:v>
      </x:c>
      <x:c r="J15" s="42" t="str">
        <x:v>Not assessed</x:v>
      </x:c>
      <x:c r="K15" s="42"/>
      <x:c r="L15" s="42"/>
      <x:c r="M15" s="42" t="str">
        <x:v>Establish a permitted introduction or opt-in</x:v>
      </x:c>
      <x:c r="N15" s="42"/>
      <x:c r="O15" s="43"/>
      <x:c r="P15" s="42" t="str">
        <x:v>https://www.melbournedisabilityservices.com.au/make-a-referral</x:v>
      </x:c>
      <x:c r="Q15" s="44" t="str">
        <x:f>IF(A15="","",IF(OR(H15="First contact",H15="Reply",H15="Positive reply",H15="Permission confirmed"),"C|"&amp;D15&amp;"|"&amp;H15,"O|"&amp;C15&amp;"|"&amp;H15))</x:f>
        <x:v>O|H008|Research</x:v>
      </x:c>
      <x:c r="R15" s="44" t="n">
        <x:f>IF(A15="","",IF(S15&lt;&gt;"Ready","Incomplete",IF(COUNTIFS($Q$8:$Q$257,Q15,$S$8:$S$257,"Ready",$B$8:$B$257,"&lt;"&amp;B15)&gt;0,0,IF(COUNTIFS($Q$8:Q15,Q15,$S$8:S15,"Ready",$B$8:B15,B15)=1,1,0))))</x:f>
        <x:v>1</x:v>
      </x:c>
      <x:c r="S15" s="44" t="str">
        <x:f>IF(A15="","",IF(COUNTIFS($A$8:$A$257,A15)&gt;1,"Duplicate ID",IF(OR(NOT(ISNUMBER(B15)),C15="",E15="",H15="",P15="",AND(OR(H15="First contact",H15="Reply",H15="Positive reply",H15="Permission confirmed"),D15=""),AND(OR(H15="First contact",H15="Permission confirmed"),OR(T15&lt;&gt;"Reviewed and confirmed",U15="",V15="")),AND(H15="Fit qualified",OR(J15&lt;&gt;"Qualified",K15="",M15="",N15="",NOT(ISNUMBER(O15)))),AND(H15="Route recommended",K15=""),AND(OR(H15="Objection",H15="No fit",H15="Lost"),L15="")),"Incomplete","Ready")))</x:f>
        <x:v>Ready</x:v>
      </x:c>
      <x:c r="T15" s="42" t="str">
        <x:v>None</x:v>
      </x:c>
      <x:c r="U15" s="42"/>
      <x:c r="V15" s="42"/>
    </x:row>
    <x:row r="16" ht="23" customHeight="1">
      <x:c r="A16" s="42" t="str">
        <x:v>R-009</x:v>
      </x:c>
      <x:c r="B16" s="43" t="n">
        <x:v>46280</x:v>
      </x:c>
      <x:c r="C16" s="42" t="str">
        <x:v>H009</x:v>
      </x:c>
      <x:c r="D16" s="42"/>
      <x:c r="E16" s="42" t="str">
        <x:v>Buyer</x:v>
      </x:c>
      <x:c r="F16" s="42" t="str">
        <x:v>Public research</x:v>
      </x:c>
      <x:c r="G16" s="42" t="str">
        <x:v>Website</x:v>
      </x:c>
      <x:c r="H16" s="42" t="str">
        <x:v>Research</x:v>
      </x:c>
      <x:c r="I16" s="42" t="str">
        <x:v>IM-01</x:v>
      </x:c>
      <x:c r="J16" s="42" t="str">
        <x:v>Not assessed</x:v>
      </x:c>
      <x:c r="K16" s="42"/>
      <x:c r="L16" s="42"/>
      <x:c r="M16" s="42" t="str">
        <x:v>Establish a permitted introduction or opt-in</x:v>
      </x:c>
      <x:c r="N16" s="42"/>
      <x:c r="O16" s="43"/>
      <x:c r="P16" s="42" t="str">
        <x:v>https://www.alephhealth.com.au/</x:v>
      </x:c>
      <x:c r="Q16" s="44" t="str">
        <x:f>IF(A16="","",IF(OR(H16="First contact",H16="Reply",H16="Positive reply",H16="Permission confirmed"),"C|"&amp;D16&amp;"|"&amp;H16,"O|"&amp;C16&amp;"|"&amp;H16))</x:f>
        <x:v>O|H009|Research</x:v>
      </x:c>
      <x:c r="R16" s="44" t="n">
        <x:f>IF(A16="","",IF(S16&lt;&gt;"Ready","Incomplete",IF(COUNTIFS($Q$8:$Q$257,Q16,$S$8:$S$257,"Ready",$B$8:$B$257,"&lt;"&amp;B16)&gt;0,0,IF(COUNTIFS($Q$8:Q16,Q16,$S$8:S16,"Ready",$B$8:B16,B16)=1,1,0))))</x:f>
        <x:v>1</x:v>
      </x:c>
      <x:c r="S16" s="44" t="str">
        <x:f>IF(A16="","",IF(COUNTIFS($A$8:$A$257,A16)&gt;1,"Duplicate ID",IF(OR(NOT(ISNUMBER(B16)),C16="",E16="",H16="",P16="",AND(OR(H16="First contact",H16="Reply",H16="Positive reply",H16="Permission confirmed"),D16=""),AND(OR(H16="First contact",H16="Permission confirmed"),OR(T16&lt;&gt;"Reviewed and confirmed",U16="",V16="")),AND(H16="Fit qualified",OR(J16&lt;&gt;"Qualified",K16="",M16="",N16="",NOT(ISNUMBER(O16)))),AND(H16="Route recommended",K16=""),AND(OR(H16="Objection",H16="No fit",H16="Lost"),L16="")),"Incomplete","Ready")))</x:f>
        <x:v>Ready</x:v>
      </x:c>
      <x:c r="T16" s="42" t="str">
        <x:v>None</x:v>
      </x:c>
      <x:c r="U16" s="42"/>
      <x:c r="V16" s="42"/>
    </x:row>
    <x:row r="17" ht="23" customHeight="1">
      <x:c r="A17" s="42" t="str">
        <x:v>R-010</x:v>
      </x:c>
      <x:c r="B17" s="43" t="n">
        <x:v>46280</x:v>
      </x:c>
      <x:c r="C17" s="42" t="str">
        <x:v>H010</x:v>
      </x:c>
      <x:c r="D17" s="42"/>
      <x:c r="E17" s="42" t="str">
        <x:v>Buyer</x:v>
      </x:c>
      <x:c r="F17" s="42" t="str">
        <x:v>Public research</x:v>
      </x:c>
      <x:c r="G17" s="42" t="str">
        <x:v>Website</x:v>
      </x:c>
      <x:c r="H17" s="42" t="str">
        <x:v>Research</x:v>
      </x:c>
      <x:c r="I17" s="42" t="str">
        <x:v>IM-01</x:v>
      </x:c>
      <x:c r="J17" s="42" t="str">
        <x:v>Not assessed</x:v>
      </x:c>
      <x:c r="K17" s="42"/>
      <x:c r="L17" s="42"/>
      <x:c r="M17" s="42" t="str">
        <x:v>Establish a permitted introduction or opt-in</x:v>
      </x:c>
      <x:c r="N17" s="42"/>
      <x:c r="O17" s="43"/>
      <x:c r="P17" s="42" t="str">
        <x:v>https://waratahconnects.com.au/</x:v>
      </x:c>
      <x:c r="Q17" s="44" t="str">
        <x:f>IF(A17="","",IF(OR(H17="First contact",H17="Reply",H17="Positive reply",H17="Permission confirmed"),"C|"&amp;D17&amp;"|"&amp;H17,"O|"&amp;C17&amp;"|"&amp;H17))</x:f>
        <x:v>O|H010|Research</x:v>
      </x:c>
      <x:c r="R17" s="44" t="n">
        <x:f>IF(A17="","",IF(S17&lt;&gt;"Ready","Incomplete",IF(COUNTIFS($Q$8:$Q$257,Q17,$S$8:$S$257,"Ready",$B$8:$B$257,"&lt;"&amp;B17)&gt;0,0,IF(COUNTIFS($Q$8:Q17,Q17,$S$8:S17,"Ready",$B$8:B17,B17)=1,1,0))))</x:f>
        <x:v>1</x:v>
      </x:c>
      <x:c r="S17" s="44" t="str">
        <x:f>IF(A17="","",IF(COUNTIFS($A$8:$A$257,A17)&gt;1,"Duplicate ID",IF(OR(NOT(ISNUMBER(B17)),C17="",E17="",H17="",P17="",AND(OR(H17="First contact",H17="Reply",H17="Positive reply",H17="Permission confirmed"),D17=""),AND(OR(H17="First contact",H17="Permission confirmed"),OR(T17&lt;&gt;"Reviewed and confirmed",U17="",V17="")),AND(H17="Fit qualified",OR(J17&lt;&gt;"Qualified",K17="",M17="",N17="",NOT(ISNUMBER(O17)))),AND(H17="Route recommended",K17=""),AND(OR(H17="Objection",H17="No fit",H17="Lost"),L17="")),"Incomplete","Ready")))</x:f>
        <x:v>Ready</x:v>
      </x:c>
      <x:c r="T17" s="42" t="str">
        <x:v>None</x:v>
      </x:c>
      <x:c r="U17" s="42"/>
      <x:c r="V17" s="42"/>
    </x:row>
    <x:row r="18" ht="23" customHeight="1">
      <x:c r="A18" s="42"/>
      <x:c r="B18" s="43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3"/>
      <x:c r="P18" s="42"/>
      <x:c r="Q18" s="44" t="str">
        <x:f>IF(A18="","",IF(OR(H18="First contact",H18="Reply",H18="Positive reply",H18="Permission confirmed"),"C|"&amp;D18&amp;"|"&amp;H18,"O|"&amp;C18&amp;"|"&amp;H18))</x:f>
      </x:c>
      <x:c r="R18" s="44" t="str">
        <x:f>IF(A18="","",IF(S18&lt;&gt;"Ready","Incomplete",IF(COUNTIFS($Q$8:$Q$257,Q18,$S$8:$S$257,"Ready",$B$8:$B$257,"&lt;"&amp;B18)&gt;0,0,IF(COUNTIFS($Q$8:Q18,Q18,$S$8:S18,"Ready",$B$8:B18,B18)=1,1,0))))</x:f>
      </x:c>
      <x:c r="S18" s="44" t="str">
        <x:f>IF(A18="","",IF(COUNTIFS($A$8:$A$257,A18)&gt;1,"Duplicate ID",IF(OR(NOT(ISNUMBER(B18)),C18="",E18="",H18="",P18="",AND(OR(H18="First contact",H18="Reply",H18="Positive reply",H18="Permission confirmed"),D18=""),AND(OR(H18="First contact",H18="Permission confirmed"),OR(T18&lt;&gt;"Reviewed and confirmed",U18="",V18="")),AND(H18="Fit qualified",OR(J18&lt;&gt;"Qualified",K18="",M18="",N18="",NOT(ISNUMBER(O18)))),AND(H18="Route recommended",K18=""),AND(OR(H18="Objection",H18="No fit",H18="Lost"),L18="")),"Incomplete","Ready")))</x:f>
      </x:c>
      <x:c r="T18" s="42"/>
      <x:c r="U18" s="42"/>
      <x:c r="V18" s="42"/>
    </x:row>
    <x:row r="19" ht="23" customHeight="1">
      <x:c r="A19" s="42"/>
      <x:c r="B19" s="43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3"/>
      <x:c r="P19" s="42"/>
      <x:c r="Q19" s="44" t="str">
        <x:f>IF(A19="","",IF(OR(H19="First contact",H19="Reply",H19="Positive reply",H19="Permission confirmed"),"C|"&amp;D19&amp;"|"&amp;H19,"O|"&amp;C19&amp;"|"&amp;H19))</x:f>
      </x:c>
      <x:c r="R19" s="44" t="str">
        <x:f>IF(A19="","",IF(S19&lt;&gt;"Ready","Incomplete",IF(COUNTIFS($Q$8:$Q$257,Q19,$S$8:$S$257,"Ready",$B$8:$B$257,"&lt;"&amp;B19)&gt;0,0,IF(COUNTIFS($Q$8:Q19,Q19,$S$8:S19,"Ready",$B$8:B19,B19)=1,1,0))))</x:f>
      </x:c>
      <x:c r="S19" s="44" t="str">
        <x:f>IF(A19="","",IF(COUNTIFS($A$8:$A$257,A19)&gt;1,"Duplicate ID",IF(OR(NOT(ISNUMBER(B19)),C19="",E19="",H19="",P19="",AND(OR(H19="First contact",H19="Reply",H19="Positive reply",H19="Permission confirmed"),D19=""),AND(OR(H19="First contact",H19="Permission confirmed"),OR(T19&lt;&gt;"Reviewed and confirmed",U19="",V19="")),AND(H19="Fit qualified",OR(J19&lt;&gt;"Qualified",K19="",M19="",N19="",NOT(ISNUMBER(O19)))),AND(H19="Route recommended",K19=""),AND(OR(H19="Objection",H19="No fit",H19="Lost"),L19="")),"Incomplete","Ready")))</x:f>
      </x:c>
      <x:c r="T19" s="42"/>
      <x:c r="U19" s="42"/>
      <x:c r="V19" s="42"/>
    </x:row>
    <x:row r="20" ht="23" customHeight="1">
      <x:c r="A20" s="42"/>
      <x:c r="B20" s="43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3"/>
      <x:c r="P20" s="42"/>
      <x:c r="Q20" s="44" t="str">
        <x:f>IF(A20="","",IF(OR(H20="First contact",H20="Reply",H20="Positive reply",H20="Permission confirmed"),"C|"&amp;D20&amp;"|"&amp;H20,"O|"&amp;C20&amp;"|"&amp;H20))</x:f>
      </x:c>
      <x:c r="R20" s="44" t="str">
        <x:f>IF(A20="","",IF(S20&lt;&gt;"Ready","Incomplete",IF(COUNTIFS($Q$8:$Q$257,Q20,$S$8:$S$257,"Ready",$B$8:$B$257,"&lt;"&amp;B20)&gt;0,0,IF(COUNTIFS($Q$8:Q20,Q20,$S$8:S20,"Ready",$B$8:B20,B20)=1,1,0))))</x:f>
      </x:c>
      <x:c r="S20" s="44" t="str">
        <x:f>IF(A20="","",IF(COUNTIFS($A$8:$A$257,A20)&gt;1,"Duplicate ID",IF(OR(NOT(ISNUMBER(B20)),C20="",E20="",H20="",P20="",AND(OR(H20="First contact",H20="Reply",H20="Positive reply",H20="Permission confirmed"),D20=""),AND(OR(H20="First contact",H20="Permission confirmed"),OR(T20&lt;&gt;"Reviewed and confirmed",U20="",V20="")),AND(H20="Fit qualified",OR(J20&lt;&gt;"Qualified",K20="",M20="",N20="",NOT(ISNUMBER(O20)))),AND(H20="Route recommended",K20=""),AND(OR(H20="Objection",H20="No fit",H20="Lost"),L20="")),"Incomplete","Ready")))</x:f>
      </x:c>
      <x:c r="T20" s="42"/>
      <x:c r="U20" s="42"/>
      <x:c r="V20" s="42"/>
    </x:row>
    <x:row r="21" ht="23" customHeight="1">
      <x:c r="A21" s="42"/>
      <x:c r="B21" s="43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3"/>
      <x:c r="P21" s="42"/>
      <x:c r="Q21" s="44" t="str">
        <x:f>IF(A21="","",IF(OR(H21="First contact",H21="Reply",H21="Positive reply",H21="Permission confirmed"),"C|"&amp;D21&amp;"|"&amp;H21,"O|"&amp;C21&amp;"|"&amp;H21))</x:f>
      </x:c>
      <x:c r="R21" s="44" t="str">
        <x:f>IF(A21="","",IF(S21&lt;&gt;"Ready","Incomplete",IF(COUNTIFS($Q$8:$Q$257,Q21,$S$8:$S$257,"Ready",$B$8:$B$257,"&lt;"&amp;B21)&gt;0,0,IF(COUNTIFS($Q$8:Q21,Q21,$S$8:S21,"Ready",$B$8:B21,B21)=1,1,0))))</x:f>
      </x:c>
      <x:c r="S21" s="44" t="str">
        <x:f>IF(A21="","",IF(COUNTIFS($A$8:$A$257,A21)&gt;1,"Duplicate ID",IF(OR(NOT(ISNUMBER(B21)),C21="",E21="",H21="",P21="",AND(OR(H21="First contact",H21="Reply",H21="Positive reply",H21="Permission confirmed"),D21=""),AND(OR(H21="First contact",H21="Permission confirmed"),OR(T21&lt;&gt;"Reviewed and confirmed",U21="",V21="")),AND(H21="Fit qualified",OR(J21&lt;&gt;"Qualified",K21="",M21="",N21="",NOT(ISNUMBER(O21)))),AND(H21="Route recommended",K21=""),AND(OR(H21="Objection",H21="No fit",H21="Lost"),L21="")),"Incomplete","Ready")))</x:f>
      </x:c>
      <x:c r="T21" s="42"/>
      <x:c r="U21" s="42"/>
      <x:c r="V21" s="42"/>
    </x:row>
    <x:row r="22" ht="23" customHeight="1">
      <x:c r="A22" s="42"/>
      <x:c r="B22" s="43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3"/>
      <x:c r="P22" s="42"/>
      <x:c r="Q22" s="44" t="str">
        <x:f>IF(A22="","",IF(OR(H22="First contact",H22="Reply",H22="Positive reply",H22="Permission confirmed"),"C|"&amp;D22&amp;"|"&amp;H22,"O|"&amp;C22&amp;"|"&amp;H22))</x:f>
      </x:c>
      <x:c r="R22" s="44" t="str">
        <x:f>IF(A22="","",IF(S22&lt;&gt;"Ready","Incomplete",IF(COUNTIFS($Q$8:$Q$257,Q22,$S$8:$S$257,"Ready",$B$8:$B$257,"&lt;"&amp;B22)&gt;0,0,IF(COUNTIFS($Q$8:Q22,Q22,$S$8:S22,"Ready",$B$8:B22,B22)=1,1,0))))</x:f>
      </x:c>
      <x:c r="S22" s="44" t="str">
        <x:f>IF(A22="","",IF(COUNTIFS($A$8:$A$257,A22)&gt;1,"Duplicate ID",IF(OR(NOT(ISNUMBER(B22)),C22="",E22="",H22="",P22="",AND(OR(H22="First contact",H22="Reply",H22="Positive reply",H22="Permission confirmed"),D22=""),AND(OR(H22="First contact",H22="Permission confirmed"),OR(T22&lt;&gt;"Reviewed and confirmed",U22="",V22="")),AND(H22="Fit qualified",OR(J22&lt;&gt;"Qualified",K22="",M22="",N22="",NOT(ISNUMBER(O22)))),AND(H22="Route recommended",K22=""),AND(OR(H22="Objection",H22="No fit",H22="Lost"),L22="")),"Incomplete","Ready")))</x:f>
      </x:c>
      <x:c r="T22" s="42"/>
      <x:c r="U22" s="42"/>
      <x:c r="V22" s="42"/>
    </x:row>
    <x:row r="23" ht="23" customHeight="1">
      <x:c r="A23" s="42"/>
      <x:c r="B23" s="43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3"/>
      <x:c r="P23" s="42"/>
      <x:c r="Q23" s="44" t="str">
        <x:f>IF(A23="","",IF(OR(H23="First contact",H23="Reply",H23="Positive reply",H23="Permission confirmed"),"C|"&amp;D23&amp;"|"&amp;H23,"O|"&amp;C23&amp;"|"&amp;H23))</x:f>
      </x:c>
      <x:c r="R23" s="44" t="str">
        <x:f>IF(A23="","",IF(S23&lt;&gt;"Ready","Incomplete",IF(COUNTIFS($Q$8:$Q$257,Q23,$S$8:$S$257,"Ready",$B$8:$B$257,"&lt;"&amp;B23)&gt;0,0,IF(COUNTIFS($Q$8:Q23,Q23,$S$8:S23,"Ready",$B$8:B23,B23)=1,1,0))))</x:f>
      </x:c>
      <x:c r="S23" s="44" t="str">
        <x:f>IF(A23="","",IF(COUNTIFS($A$8:$A$257,A23)&gt;1,"Duplicate ID",IF(OR(NOT(ISNUMBER(B23)),C23="",E23="",H23="",P23="",AND(OR(H23="First contact",H23="Reply",H23="Positive reply",H23="Permission confirmed"),D23=""),AND(OR(H23="First contact",H23="Permission confirmed"),OR(T23&lt;&gt;"Reviewed and confirmed",U23="",V23="")),AND(H23="Fit qualified",OR(J23&lt;&gt;"Qualified",K23="",M23="",N23="",NOT(ISNUMBER(O23)))),AND(H23="Route recommended",K23=""),AND(OR(H23="Objection",H23="No fit",H23="Lost"),L23="")),"Incomplete","Ready")))</x:f>
      </x:c>
      <x:c r="T23" s="42"/>
      <x:c r="U23" s="42"/>
      <x:c r="V23" s="42"/>
    </x:row>
    <x:row r="24" ht="23" customHeight="1">
      <x:c r="A24" s="42"/>
      <x:c r="B24" s="43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3"/>
      <x:c r="P24" s="42"/>
      <x:c r="Q24" s="44" t="str">
        <x:f>IF(A24="","",IF(OR(H24="First contact",H24="Reply",H24="Positive reply",H24="Permission confirmed"),"C|"&amp;D24&amp;"|"&amp;H24,"O|"&amp;C24&amp;"|"&amp;H24))</x:f>
      </x:c>
      <x:c r="R24" s="44" t="str">
        <x:f>IF(A24="","",IF(S24&lt;&gt;"Ready","Incomplete",IF(COUNTIFS($Q$8:$Q$257,Q24,$S$8:$S$257,"Ready",$B$8:$B$257,"&lt;"&amp;B24)&gt;0,0,IF(COUNTIFS($Q$8:Q24,Q24,$S$8:S24,"Ready",$B$8:B24,B24)=1,1,0))))</x:f>
      </x:c>
      <x:c r="S24" s="44" t="str">
        <x:f>IF(A24="","",IF(COUNTIFS($A$8:$A$257,A24)&gt;1,"Duplicate ID",IF(OR(NOT(ISNUMBER(B24)),C24="",E24="",H24="",P24="",AND(OR(H24="First contact",H24="Reply",H24="Positive reply",H24="Permission confirmed"),D24=""),AND(OR(H24="First contact",H24="Permission confirmed"),OR(T24&lt;&gt;"Reviewed and confirmed",U24="",V24="")),AND(H24="Fit qualified",OR(J24&lt;&gt;"Qualified",K24="",M24="",N24="",NOT(ISNUMBER(O24)))),AND(H24="Route recommended",K24=""),AND(OR(H24="Objection",H24="No fit",H24="Lost"),L24="")),"Incomplete","Ready")))</x:f>
      </x:c>
      <x:c r="T24" s="42"/>
      <x:c r="U24" s="42"/>
      <x:c r="V24" s="42"/>
    </x:row>
    <x:row r="25" ht="23" customHeight="1">
      <x:c r="A25" s="42"/>
      <x:c r="B25" s="43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3"/>
      <x:c r="P25" s="42"/>
      <x:c r="Q25" s="44" t="str">
        <x:f>IF(A25="","",IF(OR(H25="First contact",H25="Reply",H25="Positive reply",H25="Permission confirmed"),"C|"&amp;D25&amp;"|"&amp;H25,"O|"&amp;C25&amp;"|"&amp;H25))</x:f>
      </x:c>
      <x:c r="R25" s="44" t="str">
        <x:f>IF(A25="","",IF(S25&lt;&gt;"Ready","Incomplete",IF(COUNTIFS($Q$8:$Q$257,Q25,$S$8:$S$257,"Ready",$B$8:$B$257,"&lt;"&amp;B25)&gt;0,0,IF(COUNTIFS($Q$8:Q25,Q25,$S$8:S25,"Ready",$B$8:B25,B25)=1,1,0))))</x:f>
      </x:c>
      <x:c r="S25" s="44" t="str">
        <x:f>IF(A25="","",IF(COUNTIFS($A$8:$A$257,A25)&gt;1,"Duplicate ID",IF(OR(NOT(ISNUMBER(B25)),C25="",E25="",H25="",P25="",AND(OR(H25="First contact",H25="Reply",H25="Positive reply",H25="Permission confirmed"),D25=""),AND(OR(H25="First contact",H25="Permission confirmed"),OR(T25&lt;&gt;"Reviewed and confirmed",U25="",V25="")),AND(H25="Fit qualified",OR(J25&lt;&gt;"Qualified",K25="",M25="",N25="",NOT(ISNUMBER(O25)))),AND(H25="Route recommended",K25=""),AND(OR(H25="Objection",H25="No fit",H25="Lost"),L25="")),"Incomplete","Ready")))</x:f>
      </x:c>
      <x:c r="T25" s="42"/>
      <x:c r="U25" s="42"/>
      <x:c r="V25" s="42"/>
    </x:row>
    <x:row r="26" ht="23" customHeight="1">
      <x:c r="A26" s="42"/>
      <x:c r="B26" s="43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3"/>
      <x:c r="P26" s="42"/>
      <x:c r="Q26" s="44" t="str">
        <x:f>IF(A26="","",IF(OR(H26="First contact",H26="Reply",H26="Positive reply",H26="Permission confirmed"),"C|"&amp;D26&amp;"|"&amp;H26,"O|"&amp;C26&amp;"|"&amp;H26))</x:f>
      </x:c>
      <x:c r="R26" s="44" t="str">
        <x:f>IF(A26="","",IF(S26&lt;&gt;"Ready","Incomplete",IF(COUNTIFS($Q$8:$Q$257,Q26,$S$8:$S$257,"Ready",$B$8:$B$257,"&lt;"&amp;B26)&gt;0,0,IF(COUNTIFS($Q$8:Q26,Q26,$S$8:S26,"Ready",$B$8:B26,B26)=1,1,0))))</x:f>
      </x:c>
      <x:c r="S26" s="44" t="str">
        <x:f>IF(A26="","",IF(COUNTIFS($A$8:$A$257,A26)&gt;1,"Duplicate ID",IF(OR(NOT(ISNUMBER(B26)),C26="",E26="",H26="",P26="",AND(OR(H26="First contact",H26="Reply",H26="Positive reply",H26="Permission confirmed"),D26=""),AND(OR(H26="First contact",H26="Permission confirmed"),OR(T26&lt;&gt;"Reviewed and confirmed",U26="",V26="")),AND(H26="Fit qualified",OR(J26&lt;&gt;"Qualified",K26="",M26="",N26="",NOT(ISNUMBER(O26)))),AND(H26="Route recommended",K26=""),AND(OR(H26="Objection",H26="No fit",H26="Lost"),L26="")),"Incomplete","Ready")))</x:f>
      </x:c>
      <x:c r="T26" s="42"/>
      <x:c r="U26" s="42"/>
      <x:c r="V26" s="42"/>
    </x:row>
    <x:row r="27" ht="23" customHeight="1">
      <x:c r="A27" s="42"/>
      <x:c r="B27" s="43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3"/>
      <x:c r="P27" s="42"/>
      <x:c r="Q27" s="44" t="str">
        <x:f>IF(A27="","",IF(OR(H27="First contact",H27="Reply",H27="Positive reply",H27="Permission confirmed"),"C|"&amp;D27&amp;"|"&amp;H27,"O|"&amp;C27&amp;"|"&amp;H27))</x:f>
      </x:c>
      <x:c r="R27" s="44" t="str">
        <x:f>IF(A27="","",IF(S27&lt;&gt;"Ready","Incomplete",IF(COUNTIFS($Q$8:$Q$257,Q27,$S$8:$S$257,"Ready",$B$8:$B$257,"&lt;"&amp;B27)&gt;0,0,IF(COUNTIFS($Q$8:Q27,Q27,$S$8:S27,"Ready",$B$8:B27,B27)=1,1,0))))</x:f>
      </x:c>
      <x:c r="S27" s="44" t="str">
        <x:f>IF(A27="","",IF(COUNTIFS($A$8:$A$257,A27)&gt;1,"Duplicate ID",IF(OR(NOT(ISNUMBER(B27)),C27="",E27="",H27="",P27="",AND(OR(H27="First contact",H27="Reply",H27="Positive reply",H27="Permission confirmed"),D27=""),AND(OR(H27="First contact",H27="Permission confirmed"),OR(T27&lt;&gt;"Reviewed and confirmed",U27="",V27="")),AND(H27="Fit qualified",OR(J27&lt;&gt;"Qualified",K27="",M27="",N27="",NOT(ISNUMBER(O27)))),AND(H27="Route recommended",K27=""),AND(OR(H27="Objection",H27="No fit",H27="Lost"),L27="")),"Incomplete","Ready")))</x:f>
      </x:c>
      <x:c r="T27" s="42"/>
      <x:c r="U27" s="42"/>
      <x:c r="V27" s="42"/>
    </x:row>
    <x:row r="28" ht="23" customHeight="1">
      <x:c r="A28" s="42"/>
      <x:c r="B28" s="43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3"/>
      <x:c r="P28" s="42"/>
      <x:c r="Q28" s="44" t="str">
        <x:f>IF(A28="","",IF(OR(H28="First contact",H28="Reply",H28="Positive reply",H28="Permission confirmed"),"C|"&amp;D28&amp;"|"&amp;H28,"O|"&amp;C28&amp;"|"&amp;H28))</x:f>
      </x:c>
      <x:c r="R28" s="44" t="str">
        <x:f>IF(A28="","",IF(S28&lt;&gt;"Ready","Incomplete",IF(COUNTIFS($Q$8:$Q$257,Q28,$S$8:$S$257,"Ready",$B$8:$B$257,"&lt;"&amp;B28)&gt;0,0,IF(COUNTIFS($Q$8:Q28,Q28,$S$8:S28,"Ready",$B$8:B28,B28)=1,1,0))))</x:f>
      </x:c>
      <x:c r="S28" s="44" t="str">
        <x:f>IF(A28="","",IF(COUNTIFS($A$8:$A$257,A28)&gt;1,"Duplicate ID",IF(OR(NOT(ISNUMBER(B28)),C28="",E28="",H28="",P28="",AND(OR(H28="First contact",H28="Reply",H28="Positive reply",H28="Permission confirmed"),D28=""),AND(OR(H28="First contact",H28="Permission confirmed"),OR(T28&lt;&gt;"Reviewed and confirmed",U28="",V28="")),AND(H28="Fit qualified",OR(J28&lt;&gt;"Qualified",K28="",M28="",N28="",NOT(ISNUMBER(O28)))),AND(H28="Route recommended",K28=""),AND(OR(H28="Objection",H28="No fit",H28="Lost"),L28="")),"Incomplete","Ready")))</x:f>
      </x:c>
      <x:c r="T28" s="42"/>
      <x:c r="U28" s="42"/>
      <x:c r="V28" s="42"/>
    </x:row>
    <x:row r="29" ht="23" customHeight="1">
      <x:c r="A29" s="42"/>
      <x:c r="B29" s="43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3"/>
      <x:c r="P29" s="42"/>
      <x:c r="Q29" s="44" t="str">
        <x:f>IF(A29="","",IF(OR(H29="First contact",H29="Reply",H29="Positive reply",H29="Permission confirmed"),"C|"&amp;D29&amp;"|"&amp;H29,"O|"&amp;C29&amp;"|"&amp;H29))</x:f>
      </x:c>
      <x:c r="R29" s="44" t="str">
        <x:f>IF(A29="","",IF(S29&lt;&gt;"Ready","Incomplete",IF(COUNTIFS($Q$8:$Q$257,Q29,$S$8:$S$257,"Ready",$B$8:$B$257,"&lt;"&amp;B29)&gt;0,0,IF(COUNTIFS($Q$8:Q29,Q29,$S$8:S29,"Ready",$B$8:B29,B29)=1,1,0))))</x:f>
      </x:c>
      <x:c r="S29" s="44" t="str">
        <x:f>IF(A29="","",IF(COUNTIFS($A$8:$A$257,A29)&gt;1,"Duplicate ID",IF(OR(NOT(ISNUMBER(B29)),C29="",E29="",H29="",P29="",AND(OR(H29="First contact",H29="Reply",H29="Positive reply",H29="Permission confirmed"),D29=""),AND(OR(H29="First contact",H29="Permission confirmed"),OR(T29&lt;&gt;"Reviewed and confirmed",U29="",V29="")),AND(H29="Fit qualified",OR(J29&lt;&gt;"Qualified",K29="",M29="",N29="",NOT(ISNUMBER(O29)))),AND(H29="Route recommended",K29=""),AND(OR(H29="Objection",H29="No fit",H29="Lost"),L29="")),"Incomplete","Ready")))</x:f>
      </x:c>
      <x:c r="T29" s="42"/>
      <x:c r="U29" s="42"/>
      <x:c r="V29" s="42"/>
    </x:row>
    <x:row r="30" ht="23" customHeight="1">
      <x:c r="A30" s="42"/>
      <x:c r="B30" s="43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3"/>
      <x:c r="P30" s="42"/>
      <x:c r="Q30" s="44" t="str">
        <x:f>IF(A30="","",IF(OR(H30="First contact",H30="Reply",H30="Positive reply",H30="Permission confirmed"),"C|"&amp;D30&amp;"|"&amp;H30,"O|"&amp;C30&amp;"|"&amp;H30))</x:f>
      </x:c>
      <x:c r="R30" s="44" t="str">
        <x:f>IF(A30="","",IF(S30&lt;&gt;"Ready","Incomplete",IF(COUNTIFS($Q$8:$Q$257,Q30,$S$8:$S$257,"Ready",$B$8:$B$257,"&lt;"&amp;B30)&gt;0,0,IF(COUNTIFS($Q$8:Q30,Q30,$S$8:S30,"Ready",$B$8:B30,B30)=1,1,0))))</x:f>
      </x:c>
      <x:c r="S30" s="44" t="str">
        <x:f>IF(A30="","",IF(COUNTIFS($A$8:$A$257,A30)&gt;1,"Duplicate ID",IF(OR(NOT(ISNUMBER(B30)),C30="",E30="",H30="",P30="",AND(OR(H30="First contact",H30="Reply",H30="Positive reply",H30="Permission confirmed"),D30=""),AND(OR(H30="First contact",H30="Permission confirmed"),OR(T30&lt;&gt;"Reviewed and confirmed",U30="",V30="")),AND(H30="Fit qualified",OR(J30&lt;&gt;"Qualified",K30="",M30="",N30="",NOT(ISNUMBER(O30)))),AND(H30="Route recommended",K30=""),AND(OR(H30="Objection",H30="No fit",H30="Lost"),L30="")),"Incomplete","Ready")))</x:f>
      </x:c>
      <x:c r="T30" s="42"/>
      <x:c r="U30" s="42"/>
      <x:c r="V30" s="42"/>
    </x:row>
    <x:row r="31" ht="23" customHeight="1">
      <x:c r="A31" s="42"/>
      <x:c r="B31" s="43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3"/>
      <x:c r="P31" s="42"/>
      <x:c r="Q31" s="44" t="str">
        <x:f>IF(A31="","",IF(OR(H31="First contact",H31="Reply",H31="Positive reply",H31="Permission confirmed"),"C|"&amp;D31&amp;"|"&amp;H31,"O|"&amp;C31&amp;"|"&amp;H31))</x:f>
      </x:c>
      <x:c r="R31" s="44" t="str">
        <x:f>IF(A31="","",IF(S31&lt;&gt;"Ready","Incomplete",IF(COUNTIFS($Q$8:$Q$257,Q31,$S$8:$S$257,"Ready",$B$8:$B$257,"&lt;"&amp;B31)&gt;0,0,IF(COUNTIFS($Q$8:Q31,Q31,$S$8:S31,"Ready",$B$8:B31,B31)=1,1,0))))</x:f>
      </x:c>
      <x:c r="S31" s="44" t="str">
        <x:f>IF(A31="","",IF(COUNTIFS($A$8:$A$257,A31)&gt;1,"Duplicate ID",IF(OR(NOT(ISNUMBER(B31)),C31="",E31="",H31="",P31="",AND(OR(H31="First contact",H31="Reply",H31="Positive reply",H31="Permission confirmed"),D31=""),AND(OR(H31="First contact",H31="Permission confirmed"),OR(T31&lt;&gt;"Reviewed and confirmed",U31="",V31="")),AND(H31="Fit qualified",OR(J31&lt;&gt;"Qualified",K31="",M31="",N31="",NOT(ISNUMBER(O31)))),AND(H31="Route recommended",K31=""),AND(OR(H31="Objection",H31="No fit",H31="Lost"),L31="")),"Incomplete","Ready")))</x:f>
      </x:c>
      <x:c r="T31" s="42"/>
      <x:c r="U31" s="42"/>
      <x:c r="V31" s="42"/>
    </x:row>
    <x:row r="32" ht="23" customHeight="1">
      <x:c r="A32" s="42"/>
      <x:c r="B32" s="43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3"/>
      <x:c r="P32" s="42"/>
      <x:c r="Q32" s="44" t="str">
        <x:f>IF(A32="","",IF(OR(H32="First contact",H32="Reply",H32="Positive reply",H32="Permission confirmed"),"C|"&amp;D32&amp;"|"&amp;H32,"O|"&amp;C32&amp;"|"&amp;H32))</x:f>
      </x:c>
      <x:c r="R32" s="44" t="str">
        <x:f>IF(A32="","",IF(S32&lt;&gt;"Ready","Incomplete",IF(COUNTIFS($Q$8:$Q$257,Q32,$S$8:$S$257,"Ready",$B$8:$B$257,"&lt;"&amp;B32)&gt;0,0,IF(COUNTIFS($Q$8:Q32,Q32,$S$8:S32,"Ready",$B$8:B32,B32)=1,1,0))))</x:f>
      </x:c>
      <x:c r="S32" s="44" t="str">
        <x:f>IF(A32="","",IF(COUNTIFS($A$8:$A$257,A32)&gt;1,"Duplicate ID",IF(OR(NOT(ISNUMBER(B32)),C32="",E32="",H32="",P32="",AND(OR(H32="First contact",H32="Reply",H32="Positive reply",H32="Permission confirmed"),D32=""),AND(OR(H32="First contact",H32="Permission confirmed"),OR(T32&lt;&gt;"Reviewed and confirmed",U32="",V32="")),AND(H32="Fit qualified",OR(J32&lt;&gt;"Qualified",K32="",M32="",N32="",NOT(ISNUMBER(O32)))),AND(H32="Route recommended",K32=""),AND(OR(H32="Objection",H32="No fit",H32="Lost"),L32="")),"Incomplete","Ready")))</x:f>
      </x:c>
      <x:c r="T32" s="42"/>
      <x:c r="U32" s="42"/>
      <x:c r="V32" s="42"/>
    </x:row>
    <x:row r="33" ht="23" customHeight="1">
      <x:c r="A33" s="42"/>
      <x:c r="B33" s="43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3"/>
      <x:c r="P33" s="42"/>
      <x:c r="Q33" s="44" t="str">
        <x:f>IF(A33="","",IF(OR(H33="First contact",H33="Reply",H33="Positive reply",H33="Permission confirmed"),"C|"&amp;D33&amp;"|"&amp;H33,"O|"&amp;C33&amp;"|"&amp;H33))</x:f>
      </x:c>
      <x:c r="R33" s="44" t="str">
        <x:f>IF(A33="","",IF(S33&lt;&gt;"Ready","Incomplete",IF(COUNTIFS($Q$8:$Q$257,Q33,$S$8:$S$257,"Ready",$B$8:$B$257,"&lt;"&amp;B33)&gt;0,0,IF(COUNTIFS($Q$8:Q33,Q33,$S$8:S33,"Ready",$B$8:B33,B33)=1,1,0))))</x:f>
      </x:c>
      <x:c r="S33" s="44" t="str">
        <x:f>IF(A33="","",IF(COUNTIFS($A$8:$A$257,A33)&gt;1,"Duplicate ID",IF(OR(NOT(ISNUMBER(B33)),C33="",E33="",H33="",P33="",AND(OR(H33="First contact",H33="Reply",H33="Positive reply",H33="Permission confirmed"),D33=""),AND(OR(H33="First contact",H33="Permission confirmed"),OR(T33&lt;&gt;"Reviewed and confirmed",U33="",V33="")),AND(H33="Fit qualified",OR(J33&lt;&gt;"Qualified",K33="",M33="",N33="",NOT(ISNUMBER(O33)))),AND(H33="Route recommended",K33=""),AND(OR(H33="Objection",H33="No fit",H33="Lost"),L33="")),"Incomplete","Ready")))</x:f>
      </x:c>
      <x:c r="T33" s="42"/>
      <x:c r="U33" s="42"/>
      <x:c r="V33" s="42"/>
    </x:row>
    <x:row r="34" ht="23" customHeight="1">
      <x:c r="A34" s="42"/>
      <x:c r="B34" s="43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3"/>
      <x:c r="P34" s="42"/>
      <x:c r="Q34" s="44" t="str">
        <x:f>IF(A34="","",IF(OR(H34="First contact",H34="Reply",H34="Positive reply",H34="Permission confirmed"),"C|"&amp;D34&amp;"|"&amp;H34,"O|"&amp;C34&amp;"|"&amp;H34))</x:f>
      </x:c>
      <x:c r="R34" s="44" t="str">
        <x:f>IF(A34="","",IF(S34&lt;&gt;"Ready","Incomplete",IF(COUNTIFS($Q$8:$Q$257,Q34,$S$8:$S$257,"Ready",$B$8:$B$257,"&lt;"&amp;B34)&gt;0,0,IF(COUNTIFS($Q$8:Q34,Q34,$S$8:S34,"Ready",$B$8:B34,B34)=1,1,0))))</x:f>
      </x:c>
      <x:c r="S34" s="44" t="str">
        <x:f>IF(A34="","",IF(COUNTIFS($A$8:$A$257,A34)&gt;1,"Duplicate ID",IF(OR(NOT(ISNUMBER(B34)),C34="",E34="",H34="",P34="",AND(OR(H34="First contact",H34="Reply",H34="Positive reply",H34="Permission confirmed"),D34=""),AND(OR(H34="First contact",H34="Permission confirmed"),OR(T34&lt;&gt;"Reviewed and confirmed",U34="",V34="")),AND(H34="Fit qualified",OR(J34&lt;&gt;"Qualified",K34="",M34="",N34="",NOT(ISNUMBER(O34)))),AND(H34="Route recommended",K34=""),AND(OR(H34="Objection",H34="No fit",H34="Lost"),L34="")),"Incomplete","Ready")))</x:f>
      </x:c>
      <x:c r="T34" s="42"/>
      <x:c r="U34" s="42"/>
      <x:c r="V34" s="42"/>
    </x:row>
    <x:row r="35" ht="23" customHeight="1">
      <x:c r="A35" s="42"/>
      <x:c r="B35" s="43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3"/>
      <x:c r="P35" s="42"/>
      <x:c r="Q35" s="44" t="str">
        <x:f>IF(A35="","",IF(OR(H35="First contact",H35="Reply",H35="Positive reply",H35="Permission confirmed"),"C|"&amp;D35&amp;"|"&amp;H35,"O|"&amp;C35&amp;"|"&amp;H35))</x:f>
      </x:c>
      <x:c r="R35" s="44" t="str">
        <x:f>IF(A35="","",IF(S35&lt;&gt;"Ready","Incomplete",IF(COUNTIFS($Q$8:$Q$257,Q35,$S$8:$S$257,"Ready",$B$8:$B$257,"&lt;"&amp;B35)&gt;0,0,IF(COUNTIFS($Q$8:Q35,Q35,$S$8:S35,"Ready",$B$8:B35,B35)=1,1,0))))</x:f>
      </x:c>
      <x:c r="S35" s="44" t="str">
        <x:f>IF(A35="","",IF(COUNTIFS($A$8:$A$257,A35)&gt;1,"Duplicate ID",IF(OR(NOT(ISNUMBER(B35)),C35="",E35="",H35="",P35="",AND(OR(H35="First contact",H35="Reply",H35="Positive reply",H35="Permission confirmed"),D35=""),AND(OR(H35="First contact",H35="Permission confirmed"),OR(T35&lt;&gt;"Reviewed and confirmed",U35="",V35="")),AND(H35="Fit qualified",OR(J35&lt;&gt;"Qualified",K35="",M35="",N35="",NOT(ISNUMBER(O35)))),AND(H35="Route recommended",K35=""),AND(OR(H35="Objection",H35="No fit",H35="Lost"),L35="")),"Incomplete","Ready")))</x:f>
      </x:c>
      <x:c r="T35" s="42"/>
      <x:c r="U35" s="42"/>
      <x:c r="V35" s="42"/>
    </x:row>
    <x:row r="36" ht="23" customHeight="1">
      <x:c r="A36" s="42"/>
      <x:c r="B36" s="43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3"/>
      <x:c r="P36" s="42"/>
      <x:c r="Q36" s="44" t="str">
        <x:f>IF(A36="","",IF(OR(H36="First contact",H36="Reply",H36="Positive reply",H36="Permission confirmed"),"C|"&amp;D36&amp;"|"&amp;H36,"O|"&amp;C36&amp;"|"&amp;H36))</x:f>
      </x:c>
      <x:c r="R36" s="44" t="str">
        <x:f>IF(A36="","",IF(S36&lt;&gt;"Ready","Incomplete",IF(COUNTIFS($Q$8:$Q$257,Q36,$S$8:$S$257,"Ready",$B$8:$B$257,"&lt;"&amp;B36)&gt;0,0,IF(COUNTIFS($Q$8:Q36,Q36,$S$8:S36,"Ready",$B$8:B36,B36)=1,1,0))))</x:f>
      </x:c>
      <x:c r="S36" s="44" t="str">
        <x:f>IF(A36="","",IF(COUNTIFS($A$8:$A$257,A36)&gt;1,"Duplicate ID",IF(OR(NOT(ISNUMBER(B36)),C36="",E36="",H36="",P36="",AND(OR(H36="First contact",H36="Reply",H36="Positive reply",H36="Permission confirmed"),D36=""),AND(OR(H36="First contact",H36="Permission confirmed"),OR(T36&lt;&gt;"Reviewed and confirmed",U36="",V36="")),AND(H36="Fit qualified",OR(J36&lt;&gt;"Qualified",K36="",M36="",N36="",NOT(ISNUMBER(O36)))),AND(H36="Route recommended",K36=""),AND(OR(H36="Objection",H36="No fit",H36="Lost"),L36="")),"Incomplete","Ready")))</x:f>
      </x:c>
      <x:c r="T36" s="42"/>
      <x:c r="U36" s="42"/>
      <x:c r="V36" s="42"/>
    </x:row>
    <x:row r="37" ht="23" customHeight="1">
      <x:c r="A37" s="42"/>
      <x:c r="B37" s="43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3"/>
      <x:c r="P37" s="42"/>
      <x:c r="Q37" s="44" t="str">
        <x:f>IF(A37="","",IF(OR(H37="First contact",H37="Reply",H37="Positive reply",H37="Permission confirmed"),"C|"&amp;D37&amp;"|"&amp;H37,"O|"&amp;C37&amp;"|"&amp;H37))</x:f>
      </x:c>
      <x:c r="R37" s="44" t="str">
        <x:f>IF(A37="","",IF(S37&lt;&gt;"Ready","Incomplete",IF(COUNTIFS($Q$8:$Q$257,Q37,$S$8:$S$257,"Ready",$B$8:$B$257,"&lt;"&amp;B37)&gt;0,0,IF(COUNTIFS($Q$8:Q37,Q37,$S$8:S37,"Ready",$B$8:B37,B37)=1,1,0))))</x:f>
      </x:c>
      <x:c r="S37" s="44" t="str">
        <x:f>IF(A37="","",IF(COUNTIFS($A$8:$A$257,A37)&gt;1,"Duplicate ID",IF(OR(NOT(ISNUMBER(B37)),C37="",E37="",H37="",P37="",AND(OR(H37="First contact",H37="Reply",H37="Positive reply",H37="Permission confirmed"),D37=""),AND(OR(H37="First contact",H37="Permission confirmed"),OR(T37&lt;&gt;"Reviewed and confirmed",U37="",V37="")),AND(H37="Fit qualified",OR(J37&lt;&gt;"Qualified",K37="",M37="",N37="",NOT(ISNUMBER(O37)))),AND(H37="Route recommended",K37=""),AND(OR(H37="Objection",H37="No fit",H37="Lost"),L37="")),"Incomplete","Ready")))</x:f>
      </x:c>
      <x:c r="T37" s="42"/>
      <x:c r="U37" s="42"/>
      <x:c r="V37" s="42"/>
    </x:row>
    <x:row r="38" ht="23" customHeight="1">
      <x:c r="A38" s="42"/>
      <x:c r="B38" s="43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3"/>
      <x:c r="P38" s="42"/>
      <x:c r="Q38" s="44" t="str">
        <x:f>IF(A38="","",IF(OR(H38="First contact",H38="Reply",H38="Positive reply",H38="Permission confirmed"),"C|"&amp;D38&amp;"|"&amp;H38,"O|"&amp;C38&amp;"|"&amp;H38))</x:f>
      </x:c>
      <x:c r="R38" s="44" t="str">
        <x:f>IF(A38="","",IF(S38&lt;&gt;"Ready","Incomplete",IF(COUNTIFS($Q$8:$Q$257,Q38,$S$8:$S$257,"Ready",$B$8:$B$257,"&lt;"&amp;B38)&gt;0,0,IF(COUNTIFS($Q$8:Q38,Q38,$S$8:S38,"Ready",$B$8:B38,B38)=1,1,0))))</x:f>
      </x:c>
      <x:c r="S38" s="44" t="str">
        <x:f>IF(A38="","",IF(COUNTIFS($A$8:$A$257,A38)&gt;1,"Duplicate ID",IF(OR(NOT(ISNUMBER(B38)),C38="",E38="",H38="",P38="",AND(OR(H38="First contact",H38="Reply",H38="Positive reply",H38="Permission confirmed"),D38=""),AND(OR(H38="First contact",H38="Permission confirmed"),OR(T38&lt;&gt;"Reviewed and confirmed",U38="",V38="")),AND(H38="Fit qualified",OR(J38&lt;&gt;"Qualified",K38="",M38="",N38="",NOT(ISNUMBER(O38)))),AND(H38="Route recommended",K38=""),AND(OR(H38="Objection",H38="No fit",H38="Lost"),L38="")),"Incomplete","Ready")))</x:f>
      </x:c>
      <x:c r="T38" s="42"/>
      <x:c r="U38" s="42"/>
      <x:c r="V38" s="42"/>
    </x:row>
    <x:row r="39" ht="23" customHeight="1">
      <x:c r="A39" s="42"/>
      <x:c r="B39" s="43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3"/>
      <x:c r="P39" s="42"/>
      <x:c r="Q39" s="44" t="str">
        <x:f>IF(A39="","",IF(OR(H39="First contact",H39="Reply",H39="Positive reply",H39="Permission confirmed"),"C|"&amp;D39&amp;"|"&amp;H39,"O|"&amp;C39&amp;"|"&amp;H39))</x:f>
      </x:c>
      <x:c r="R39" s="44" t="str">
        <x:f>IF(A39="","",IF(S39&lt;&gt;"Ready","Incomplete",IF(COUNTIFS($Q$8:$Q$257,Q39,$S$8:$S$257,"Ready",$B$8:$B$257,"&lt;"&amp;B39)&gt;0,0,IF(COUNTIFS($Q$8:Q39,Q39,$S$8:S39,"Ready",$B$8:B39,B39)=1,1,0))))</x:f>
      </x:c>
      <x:c r="S39" s="44" t="str">
        <x:f>IF(A39="","",IF(COUNTIFS($A$8:$A$257,A39)&gt;1,"Duplicate ID",IF(OR(NOT(ISNUMBER(B39)),C39="",E39="",H39="",P39="",AND(OR(H39="First contact",H39="Reply",H39="Positive reply",H39="Permission confirmed"),D39=""),AND(OR(H39="First contact",H39="Permission confirmed"),OR(T39&lt;&gt;"Reviewed and confirmed",U39="",V39="")),AND(H39="Fit qualified",OR(J39&lt;&gt;"Qualified",K39="",M39="",N39="",NOT(ISNUMBER(O39)))),AND(H39="Route recommended",K39=""),AND(OR(H39="Objection",H39="No fit",H39="Lost"),L39="")),"Incomplete","Ready")))</x:f>
      </x:c>
      <x:c r="T39" s="42"/>
      <x:c r="U39" s="42"/>
      <x:c r="V39" s="42"/>
    </x:row>
    <x:row r="40" ht="23" customHeight="1">
      <x:c r="A40" s="42"/>
      <x:c r="B40" s="43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3"/>
      <x:c r="P40" s="42"/>
      <x:c r="Q40" s="44" t="str">
        <x:f>IF(A40="","",IF(OR(H40="First contact",H40="Reply",H40="Positive reply",H40="Permission confirmed"),"C|"&amp;D40&amp;"|"&amp;H40,"O|"&amp;C40&amp;"|"&amp;H40))</x:f>
      </x:c>
      <x:c r="R40" s="44" t="str">
        <x:f>IF(A40="","",IF(S40&lt;&gt;"Ready","Incomplete",IF(COUNTIFS($Q$8:$Q$257,Q40,$S$8:$S$257,"Ready",$B$8:$B$257,"&lt;"&amp;B40)&gt;0,0,IF(COUNTIFS($Q$8:Q40,Q40,$S$8:S40,"Ready",$B$8:B40,B40)=1,1,0))))</x:f>
      </x:c>
      <x:c r="S40" s="44" t="str">
        <x:f>IF(A40="","",IF(COUNTIFS($A$8:$A$257,A40)&gt;1,"Duplicate ID",IF(OR(NOT(ISNUMBER(B40)),C40="",E40="",H40="",P40="",AND(OR(H40="First contact",H40="Reply",H40="Positive reply",H40="Permission confirmed"),D40=""),AND(OR(H40="First contact",H40="Permission confirmed"),OR(T40&lt;&gt;"Reviewed and confirmed",U40="",V40="")),AND(H40="Fit qualified",OR(J40&lt;&gt;"Qualified",K40="",M40="",N40="",NOT(ISNUMBER(O40)))),AND(H40="Route recommended",K40=""),AND(OR(H40="Objection",H40="No fit",H40="Lost"),L40="")),"Incomplete","Ready")))</x:f>
      </x:c>
      <x:c r="T40" s="42"/>
      <x:c r="U40" s="42"/>
      <x:c r="V40" s="42"/>
    </x:row>
    <x:row r="41" ht="23" customHeight="1">
      <x:c r="A41" s="42"/>
      <x:c r="B41" s="43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3"/>
      <x:c r="P41" s="42"/>
      <x:c r="Q41" s="44" t="str">
        <x:f>IF(A41="","",IF(OR(H41="First contact",H41="Reply",H41="Positive reply",H41="Permission confirmed"),"C|"&amp;D41&amp;"|"&amp;H41,"O|"&amp;C41&amp;"|"&amp;H41))</x:f>
      </x:c>
      <x:c r="R41" s="44" t="str">
        <x:f>IF(A41="","",IF(S41&lt;&gt;"Ready","Incomplete",IF(COUNTIFS($Q$8:$Q$257,Q41,$S$8:$S$257,"Ready",$B$8:$B$257,"&lt;"&amp;B41)&gt;0,0,IF(COUNTIFS($Q$8:Q41,Q41,$S$8:S41,"Ready",$B$8:B41,B41)=1,1,0))))</x:f>
      </x:c>
      <x:c r="S41" s="44" t="str">
        <x:f>IF(A41="","",IF(COUNTIFS($A$8:$A$257,A41)&gt;1,"Duplicate ID",IF(OR(NOT(ISNUMBER(B41)),C41="",E41="",H41="",P41="",AND(OR(H41="First contact",H41="Reply",H41="Positive reply",H41="Permission confirmed"),D41=""),AND(OR(H41="First contact",H41="Permission confirmed"),OR(T41&lt;&gt;"Reviewed and confirmed",U41="",V41="")),AND(H41="Fit qualified",OR(J41&lt;&gt;"Qualified",K41="",M41="",N41="",NOT(ISNUMBER(O41)))),AND(H41="Route recommended",K41=""),AND(OR(H41="Objection",H41="No fit",H41="Lost"),L41="")),"Incomplete","Ready")))</x:f>
      </x:c>
      <x:c r="T41" s="42"/>
      <x:c r="U41" s="42"/>
      <x:c r="V41" s="42"/>
    </x:row>
    <x:row r="42" ht="23" customHeight="1">
      <x:c r="A42" s="42"/>
      <x:c r="B42" s="43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3"/>
      <x:c r="P42" s="42"/>
      <x:c r="Q42" s="44" t="str">
        <x:f>IF(A42="","",IF(OR(H42="First contact",H42="Reply",H42="Positive reply",H42="Permission confirmed"),"C|"&amp;D42&amp;"|"&amp;H42,"O|"&amp;C42&amp;"|"&amp;H42))</x:f>
      </x:c>
      <x:c r="R42" s="44" t="str">
        <x:f>IF(A42="","",IF(S42&lt;&gt;"Ready","Incomplete",IF(COUNTIFS($Q$8:$Q$257,Q42,$S$8:$S$257,"Ready",$B$8:$B$257,"&lt;"&amp;B42)&gt;0,0,IF(COUNTIFS($Q$8:Q42,Q42,$S$8:S42,"Ready",$B$8:B42,B42)=1,1,0))))</x:f>
      </x:c>
      <x:c r="S42" s="44" t="str">
        <x:f>IF(A42="","",IF(COUNTIFS($A$8:$A$257,A42)&gt;1,"Duplicate ID",IF(OR(NOT(ISNUMBER(B42)),C42="",E42="",H42="",P42="",AND(OR(H42="First contact",H42="Reply",H42="Positive reply",H42="Permission confirmed"),D42=""),AND(OR(H42="First contact",H42="Permission confirmed"),OR(T42&lt;&gt;"Reviewed and confirmed",U42="",V42="")),AND(H42="Fit qualified",OR(J42&lt;&gt;"Qualified",K42="",M42="",N42="",NOT(ISNUMBER(O42)))),AND(H42="Route recommended",K42=""),AND(OR(H42="Objection",H42="No fit",H42="Lost"),L42="")),"Incomplete","Ready")))</x:f>
      </x:c>
      <x:c r="T42" s="42"/>
      <x:c r="U42" s="42"/>
      <x:c r="V42" s="42"/>
    </x:row>
    <x:row r="43" ht="23" customHeight="1">
      <x:c r="A43" s="42"/>
      <x:c r="B43" s="43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3"/>
      <x:c r="P43" s="42"/>
      <x:c r="Q43" s="44" t="str">
        <x:f>IF(A43="","",IF(OR(H43="First contact",H43="Reply",H43="Positive reply",H43="Permission confirmed"),"C|"&amp;D43&amp;"|"&amp;H43,"O|"&amp;C43&amp;"|"&amp;H43))</x:f>
      </x:c>
      <x:c r="R43" s="44" t="str">
        <x:f>IF(A43="","",IF(S43&lt;&gt;"Ready","Incomplete",IF(COUNTIFS($Q$8:$Q$257,Q43,$S$8:$S$257,"Ready",$B$8:$B$257,"&lt;"&amp;B43)&gt;0,0,IF(COUNTIFS($Q$8:Q43,Q43,$S$8:S43,"Ready",$B$8:B43,B43)=1,1,0))))</x:f>
      </x:c>
      <x:c r="S43" s="44" t="str">
        <x:f>IF(A43="","",IF(COUNTIFS($A$8:$A$257,A43)&gt;1,"Duplicate ID",IF(OR(NOT(ISNUMBER(B43)),C43="",E43="",H43="",P43="",AND(OR(H43="First contact",H43="Reply",H43="Positive reply",H43="Permission confirmed"),D43=""),AND(OR(H43="First contact",H43="Permission confirmed"),OR(T43&lt;&gt;"Reviewed and confirmed",U43="",V43="")),AND(H43="Fit qualified",OR(J43&lt;&gt;"Qualified",K43="",M43="",N43="",NOT(ISNUMBER(O43)))),AND(H43="Route recommended",K43=""),AND(OR(H43="Objection",H43="No fit",H43="Lost"),L43="")),"Incomplete","Ready")))</x:f>
      </x:c>
      <x:c r="T43" s="42"/>
      <x:c r="U43" s="42"/>
      <x:c r="V43" s="42"/>
    </x:row>
    <x:row r="44" ht="23" customHeight="1">
      <x:c r="A44" s="42"/>
      <x:c r="B44" s="43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3"/>
      <x:c r="P44" s="42"/>
      <x:c r="Q44" s="44" t="str">
        <x:f>IF(A44="","",IF(OR(H44="First contact",H44="Reply",H44="Positive reply",H44="Permission confirmed"),"C|"&amp;D44&amp;"|"&amp;H44,"O|"&amp;C44&amp;"|"&amp;H44))</x:f>
      </x:c>
      <x:c r="R44" s="44" t="str">
        <x:f>IF(A44="","",IF(S44&lt;&gt;"Ready","Incomplete",IF(COUNTIFS($Q$8:$Q$257,Q44,$S$8:$S$257,"Ready",$B$8:$B$257,"&lt;"&amp;B44)&gt;0,0,IF(COUNTIFS($Q$8:Q44,Q44,$S$8:S44,"Ready",$B$8:B44,B44)=1,1,0))))</x:f>
      </x:c>
      <x:c r="S44" s="44" t="str">
        <x:f>IF(A44="","",IF(COUNTIFS($A$8:$A$257,A44)&gt;1,"Duplicate ID",IF(OR(NOT(ISNUMBER(B44)),C44="",E44="",H44="",P44="",AND(OR(H44="First contact",H44="Reply",H44="Positive reply",H44="Permission confirmed"),D44=""),AND(OR(H44="First contact",H44="Permission confirmed"),OR(T44&lt;&gt;"Reviewed and confirmed",U44="",V44="")),AND(H44="Fit qualified",OR(J44&lt;&gt;"Qualified",K44="",M44="",N44="",NOT(ISNUMBER(O44)))),AND(H44="Route recommended",K44=""),AND(OR(H44="Objection",H44="No fit",H44="Lost"),L44="")),"Incomplete","Ready")))</x:f>
      </x:c>
      <x:c r="T44" s="42"/>
      <x:c r="U44" s="42"/>
      <x:c r="V44" s="42"/>
    </x:row>
    <x:row r="45" ht="23" customHeight="1">
      <x:c r="A45" s="42"/>
      <x:c r="B45" s="43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3"/>
      <x:c r="P45" s="42"/>
      <x:c r="Q45" s="44" t="str">
        <x:f>IF(A45="","",IF(OR(H45="First contact",H45="Reply",H45="Positive reply",H45="Permission confirmed"),"C|"&amp;D45&amp;"|"&amp;H45,"O|"&amp;C45&amp;"|"&amp;H45))</x:f>
      </x:c>
      <x:c r="R45" s="44" t="str">
        <x:f>IF(A45="","",IF(S45&lt;&gt;"Ready","Incomplete",IF(COUNTIFS($Q$8:$Q$257,Q45,$S$8:$S$257,"Ready",$B$8:$B$257,"&lt;"&amp;B45)&gt;0,0,IF(COUNTIFS($Q$8:Q45,Q45,$S$8:S45,"Ready",$B$8:B45,B45)=1,1,0))))</x:f>
      </x:c>
      <x:c r="S45" s="44" t="str">
        <x:f>IF(A45="","",IF(COUNTIFS($A$8:$A$257,A45)&gt;1,"Duplicate ID",IF(OR(NOT(ISNUMBER(B45)),C45="",E45="",H45="",P45="",AND(OR(H45="First contact",H45="Reply",H45="Positive reply",H45="Permission confirmed"),D45=""),AND(OR(H45="First contact",H45="Permission confirmed"),OR(T45&lt;&gt;"Reviewed and confirmed",U45="",V45="")),AND(H45="Fit qualified",OR(J45&lt;&gt;"Qualified",K45="",M45="",N45="",NOT(ISNUMBER(O45)))),AND(H45="Route recommended",K45=""),AND(OR(H45="Objection",H45="No fit",H45="Lost"),L45="")),"Incomplete","Ready")))</x:f>
      </x:c>
      <x:c r="T45" s="42"/>
      <x:c r="U45" s="42"/>
      <x:c r="V45" s="42"/>
    </x:row>
    <x:row r="46" ht="23" customHeight="1">
      <x:c r="A46" s="42"/>
      <x:c r="B46" s="43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3"/>
      <x:c r="P46" s="42"/>
      <x:c r="Q46" s="44" t="str">
        <x:f>IF(A46="","",IF(OR(H46="First contact",H46="Reply",H46="Positive reply",H46="Permission confirmed"),"C|"&amp;D46&amp;"|"&amp;H46,"O|"&amp;C46&amp;"|"&amp;H46))</x:f>
      </x:c>
      <x:c r="R46" s="44" t="str">
        <x:f>IF(A46="","",IF(S46&lt;&gt;"Ready","Incomplete",IF(COUNTIFS($Q$8:$Q$257,Q46,$S$8:$S$257,"Ready",$B$8:$B$257,"&lt;"&amp;B46)&gt;0,0,IF(COUNTIFS($Q$8:Q46,Q46,$S$8:S46,"Ready",$B$8:B46,B46)=1,1,0))))</x:f>
      </x:c>
      <x:c r="S46" s="44" t="str">
        <x:f>IF(A46="","",IF(COUNTIFS($A$8:$A$257,A46)&gt;1,"Duplicate ID",IF(OR(NOT(ISNUMBER(B46)),C46="",E46="",H46="",P46="",AND(OR(H46="First contact",H46="Reply",H46="Positive reply",H46="Permission confirmed"),D46=""),AND(OR(H46="First contact",H46="Permission confirmed"),OR(T46&lt;&gt;"Reviewed and confirmed",U46="",V46="")),AND(H46="Fit qualified",OR(J46&lt;&gt;"Qualified",K46="",M46="",N46="",NOT(ISNUMBER(O46)))),AND(H46="Route recommended",K46=""),AND(OR(H46="Objection",H46="No fit",H46="Lost"),L46="")),"Incomplete","Ready")))</x:f>
      </x:c>
      <x:c r="T46" s="42"/>
      <x:c r="U46" s="42"/>
      <x:c r="V46" s="42"/>
    </x:row>
    <x:row r="47" ht="23" customHeight="1">
      <x:c r="A47" s="42"/>
      <x:c r="B47" s="43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3"/>
      <x:c r="P47" s="42"/>
      <x:c r="Q47" s="44" t="str">
        <x:f>IF(A47="","",IF(OR(H47="First contact",H47="Reply",H47="Positive reply",H47="Permission confirmed"),"C|"&amp;D47&amp;"|"&amp;H47,"O|"&amp;C47&amp;"|"&amp;H47))</x:f>
      </x:c>
      <x:c r="R47" s="44" t="str">
        <x:f>IF(A47="","",IF(S47&lt;&gt;"Ready","Incomplete",IF(COUNTIFS($Q$8:$Q$257,Q47,$S$8:$S$257,"Ready",$B$8:$B$257,"&lt;"&amp;B47)&gt;0,0,IF(COUNTIFS($Q$8:Q47,Q47,$S$8:S47,"Ready",$B$8:B47,B47)=1,1,0))))</x:f>
      </x:c>
      <x:c r="S47" s="44" t="str">
        <x:f>IF(A47="","",IF(COUNTIFS($A$8:$A$257,A47)&gt;1,"Duplicate ID",IF(OR(NOT(ISNUMBER(B47)),C47="",E47="",H47="",P47="",AND(OR(H47="First contact",H47="Reply",H47="Positive reply",H47="Permission confirmed"),D47=""),AND(OR(H47="First contact",H47="Permission confirmed"),OR(T47&lt;&gt;"Reviewed and confirmed",U47="",V47="")),AND(H47="Fit qualified",OR(J47&lt;&gt;"Qualified",K47="",M47="",N47="",NOT(ISNUMBER(O47)))),AND(H47="Route recommended",K47=""),AND(OR(H47="Objection",H47="No fit",H47="Lost"),L47="")),"Incomplete","Ready")))</x:f>
      </x:c>
      <x:c r="T47" s="42"/>
      <x:c r="U47" s="42"/>
      <x:c r="V47" s="42"/>
    </x:row>
    <x:row r="48" ht="23" customHeight="1">
      <x:c r="A48" s="42"/>
      <x:c r="B48" s="43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3"/>
      <x:c r="P48" s="42"/>
      <x:c r="Q48" s="44" t="str">
        <x:f>IF(A48="","",IF(OR(H48="First contact",H48="Reply",H48="Positive reply",H48="Permission confirmed"),"C|"&amp;D48&amp;"|"&amp;H48,"O|"&amp;C48&amp;"|"&amp;H48))</x:f>
      </x:c>
      <x:c r="R48" s="44" t="str">
        <x:f>IF(A48="","",IF(S48&lt;&gt;"Ready","Incomplete",IF(COUNTIFS($Q$8:$Q$257,Q48,$S$8:$S$257,"Ready",$B$8:$B$257,"&lt;"&amp;B48)&gt;0,0,IF(COUNTIFS($Q$8:Q48,Q48,$S$8:S48,"Ready",$B$8:B48,B48)=1,1,0))))</x:f>
      </x:c>
      <x:c r="S48" s="44" t="str">
        <x:f>IF(A48="","",IF(COUNTIFS($A$8:$A$257,A48)&gt;1,"Duplicate ID",IF(OR(NOT(ISNUMBER(B48)),C48="",E48="",H48="",P48="",AND(OR(H48="First contact",H48="Reply",H48="Positive reply",H48="Permission confirmed"),D48=""),AND(OR(H48="First contact",H48="Permission confirmed"),OR(T48&lt;&gt;"Reviewed and confirmed",U48="",V48="")),AND(H48="Fit qualified",OR(J48&lt;&gt;"Qualified",K48="",M48="",N48="",NOT(ISNUMBER(O48)))),AND(H48="Route recommended",K48=""),AND(OR(H48="Objection",H48="No fit",H48="Lost"),L48="")),"Incomplete","Ready")))</x:f>
      </x:c>
      <x:c r="T48" s="42"/>
      <x:c r="U48" s="42"/>
      <x:c r="V48" s="42"/>
    </x:row>
    <x:row r="49" ht="23" customHeight="1">
      <x:c r="A49" s="42"/>
      <x:c r="B49" s="43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3"/>
      <x:c r="P49" s="42"/>
      <x:c r="Q49" s="44" t="str">
        <x:f>IF(A49="","",IF(OR(H49="First contact",H49="Reply",H49="Positive reply",H49="Permission confirmed"),"C|"&amp;D49&amp;"|"&amp;H49,"O|"&amp;C49&amp;"|"&amp;H49))</x:f>
      </x:c>
      <x:c r="R49" s="44" t="str">
        <x:f>IF(A49="","",IF(S49&lt;&gt;"Ready","Incomplete",IF(COUNTIFS($Q$8:$Q$257,Q49,$S$8:$S$257,"Ready",$B$8:$B$257,"&lt;"&amp;B49)&gt;0,0,IF(COUNTIFS($Q$8:Q49,Q49,$S$8:S49,"Ready",$B$8:B49,B49)=1,1,0))))</x:f>
      </x:c>
      <x:c r="S49" s="44" t="str">
        <x:f>IF(A49="","",IF(COUNTIFS($A$8:$A$257,A49)&gt;1,"Duplicate ID",IF(OR(NOT(ISNUMBER(B49)),C49="",E49="",H49="",P49="",AND(OR(H49="First contact",H49="Reply",H49="Positive reply",H49="Permission confirmed"),D49=""),AND(OR(H49="First contact",H49="Permission confirmed"),OR(T49&lt;&gt;"Reviewed and confirmed",U49="",V49="")),AND(H49="Fit qualified",OR(J49&lt;&gt;"Qualified",K49="",M49="",N49="",NOT(ISNUMBER(O49)))),AND(H49="Route recommended",K49=""),AND(OR(H49="Objection",H49="No fit",H49="Lost"),L49="")),"Incomplete","Ready")))</x:f>
      </x:c>
      <x:c r="T49" s="42"/>
      <x:c r="U49" s="42"/>
      <x:c r="V49" s="42"/>
    </x:row>
    <x:row r="50" ht="23" customHeight="1">
      <x:c r="A50" s="42"/>
      <x:c r="B50" s="43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3"/>
      <x:c r="P50" s="42"/>
      <x:c r="Q50" s="44" t="str">
        <x:f>IF(A50="","",IF(OR(H50="First contact",H50="Reply",H50="Positive reply",H50="Permission confirmed"),"C|"&amp;D50&amp;"|"&amp;H50,"O|"&amp;C50&amp;"|"&amp;H50))</x:f>
      </x:c>
      <x:c r="R50" s="44" t="str">
        <x:f>IF(A50="","",IF(S50&lt;&gt;"Ready","Incomplete",IF(COUNTIFS($Q$8:$Q$257,Q50,$S$8:$S$257,"Ready",$B$8:$B$257,"&lt;"&amp;B50)&gt;0,0,IF(COUNTIFS($Q$8:Q50,Q50,$S$8:S50,"Ready",$B$8:B50,B50)=1,1,0))))</x:f>
      </x:c>
      <x:c r="S50" s="44" t="str">
        <x:f>IF(A50="","",IF(COUNTIFS($A$8:$A$257,A50)&gt;1,"Duplicate ID",IF(OR(NOT(ISNUMBER(B50)),C50="",E50="",H50="",P50="",AND(OR(H50="First contact",H50="Reply",H50="Positive reply",H50="Permission confirmed"),D50=""),AND(OR(H50="First contact",H50="Permission confirmed"),OR(T50&lt;&gt;"Reviewed and confirmed",U50="",V50="")),AND(H50="Fit qualified",OR(J50&lt;&gt;"Qualified",K50="",M50="",N50="",NOT(ISNUMBER(O50)))),AND(H50="Route recommended",K50=""),AND(OR(H50="Objection",H50="No fit",H50="Lost"),L50="")),"Incomplete","Ready")))</x:f>
      </x:c>
      <x:c r="T50" s="42"/>
      <x:c r="U50" s="42"/>
      <x:c r="V50" s="42"/>
    </x:row>
    <x:row r="51" ht="23" customHeight="1">
      <x:c r="A51" s="42"/>
      <x:c r="B51" s="43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3"/>
      <x:c r="P51" s="42"/>
      <x:c r="Q51" s="44" t="str">
        <x:f>IF(A51="","",IF(OR(H51="First contact",H51="Reply",H51="Positive reply",H51="Permission confirmed"),"C|"&amp;D51&amp;"|"&amp;H51,"O|"&amp;C51&amp;"|"&amp;H51))</x:f>
      </x:c>
      <x:c r="R51" s="44" t="str">
        <x:f>IF(A51="","",IF(S51&lt;&gt;"Ready","Incomplete",IF(COUNTIFS($Q$8:$Q$257,Q51,$S$8:$S$257,"Ready",$B$8:$B$257,"&lt;"&amp;B51)&gt;0,0,IF(COUNTIFS($Q$8:Q51,Q51,$S$8:S51,"Ready",$B$8:B51,B51)=1,1,0))))</x:f>
      </x:c>
      <x:c r="S51" s="44" t="str">
        <x:f>IF(A51="","",IF(COUNTIFS($A$8:$A$257,A51)&gt;1,"Duplicate ID",IF(OR(NOT(ISNUMBER(B51)),C51="",E51="",H51="",P51="",AND(OR(H51="First contact",H51="Reply",H51="Positive reply",H51="Permission confirmed"),D51=""),AND(OR(H51="First contact",H51="Permission confirmed"),OR(T51&lt;&gt;"Reviewed and confirmed",U51="",V51="")),AND(H51="Fit qualified",OR(J51&lt;&gt;"Qualified",K51="",M51="",N51="",NOT(ISNUMBER(O51)))),AND(H51="Route recommended",K51=""),AND(OR(H51="Objection",H51="No fit",H51="Lost"),L51="")),"Incomplete","Ready")))</x:f>
      </x:c>
      <x:c r="T51" s="42"/>
      <x:c r="U51" s="42"/>
      <x:c r="V51" s="42"/>
    </x:row>
    <x:row r="52" ht="23" customHeight="1">
      <x:c r="A52" s="42"/>
      <x:c r="B52" s="43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3"/>
      <x:c r="P52" s="42"/>
      <x:c r="Q52" s="44" t="str">
        <x:f>IF(A52="","",IF(OR(H52="First contact",H52="Reply",H52="Positive reply",H52="Permission confirmed"),"C|"&amp;D52&amp;"|"&amp;H52,"O|"&amp;C52&amp;"|"&amp;H52))</x:f>
      </x:c>
      <x:c r="R52" s="44" t="str">
        <x:f>IF(A52="","",IF(S52&lt;&gt;"Ready","Incomplete",IF(COUNTIFS($Q$8:$Q$257,Q52,$S$8:$S$257,"Ready",$B$8:$B$257,"&lt;"&amp;B52)&gt;0,0,IF(COUNTIFS($Q$8:Q52,Q52,$S$8:S52,"Ready",$B$8:B52,B52)=1,1,0))))</x:f>
      </x:c>
      <x:c r="S52" s="44" t="str">
        <x:f>IF(A52="","",IF(COUNTIFS($A$8:$A$257,A52)&gt;1,"Duplicate ID",IF(OR(NOT(ISNUMBER(B52)),C52="",E52="",H52="",P52="",AND(OR(H52="First contact",H52="Reply",H52="Positive reply",H52="Permission confirmed"),D52=""),AND(OR(H52="First contact",H52="Permission confirmed"),OR(T52&lt;&gt;"Reviewed and confirmed",U52="",V52="")),AND(H52="Fit qualified",OR(J52&lt;&gt;"Qualified",K52="",M52="",N52="",NOT(ISNUMBER(O52)))),AND(H52="Route recommended",K52=""),AND(OR(H52="Objection",H52="No fit",H52="Lost"),L52="")),"Incomplete","Ready")))</x:f>
      </x:c>
      <x:c r="T52" s="42"/>
      <x:c r="U52" s="42"/>
      <x:c r="V52" s="42"/>
    </x:row>
    <x:row r="53" ht="23" customHeight="1">
      <x:c r="A53" s="42"/>
      <x:c r="B53" s="43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3"/>
      <x:c r="P53" s="42"/>
      <x:c r="Q53" s="44" t="str">
        <x:f>IF(A53="","",IF(OR(H53="First contact",H53="Reply",H53="Positive reply",H53="Permission confirmed"),"C|"&amp;D53&amp;"|"&amp;H53,"O|"&amp;C53&amp;"|"&amp;H53))</x:f>
      </x:c>
      <x:c r="R53" s="44" t="str">
        <x:f>IF(A53="","",IF(S53&lt;&gt;"Ready","Incomplete",IF(COUNTIFS($Q$8:$Q$257,Q53,$S$8:$S$257,"Ready",$B$8:$B$257,"&lt;"&amp;B53)&gt;0,0,IF(COUNTIFS($Q$8:Q53,Q53,$S$8:S53,"Ready",$B$8:B53,B53)=1,1,0))))</x:f>
      </x:c>
      <x:c r="S53" s="44" t="str">
        <x:f>IF(A53="","",IF(COUNTIFS($A$8:$A$257,A53)&gt;1,"Duplicate ID",IF(OR(NOT(ISNUMBER(B53)),C53="",E53="",H53="",P53="",AND(OR(H53="First contact",H53="Reply",H53="Positive reply",H53="Permission confirmed"),D53=""),AND(OR(H53="First contact",H53="Permission confirmed"),OR(T53&lt;&gt;"Reviewed and confirmed",U53="",V53="")),AND(H53="Fit qualified",OR(J53&lt;&gt;"Qualified",K53="",M53="",N53="",NOT(ISNUMBER(O53)))),AND(H53="Route recommended",K53=""),AND(OR(H53="Objection",H53="No fit",H53="Lost"),L53="")),"Incomplete","Ready")))</x:f>
      </x:c>
      <x:c r="T53" s="42"/>
      <x:c r="U53" s="42"/>
      <x:c r="V53" s="42"/>
    </x:row>
    <x:row r="54" ht="23" customHeight="1">
      <x:c r="A54" s="42"/>
      <x:c r="B54" s="43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3"/>
      <x:c r="P54" s="42"/>
      <x:c r="Q54" s="44" t="str">
        <x:f>IF(A54="","",IF(OR(H54="First contact",H54="Reply",H54="Positive reply",H54="Permission confirmed"),"C|"&amp;D54&amp;"|"&amp;H54,"O|"&amp;C54&amp;"|"&amp;H54))</x:f>
      </x:c>
      <x:c r="R54" s="44" t="str">
        <x:f>IF(A54="","",IF(S54&lt;&gt;"Ready","Incomplete",IF(COUNTIFS($Q$8:$Q$257,Q54,$S$8:$S$257,"Ready",$B$8:$B$257,"&lt;"&amp;B54)&gt;0,0,IF(COUNTIFS($Q$8:Q54,Q54,$S$8:S54,"Ready",$B$8:B54,B54)=1,1,0))))</x:f>
      </x:c>
      <x:c r="S54" s="44" t="str">
        <x:f>IF(A54="","",IF(COUNTIFS($A$8:$A$257,A54)&gt;1,"Duplicate ID",IF(OR(NOT(ISNUMBER(B54)),C54="",E54="",H54="",P54="",AND(OR(H54="First contact",H54="Reply",H54="Positive reply",H54="Permission confirmed"),D54=""),AND(OR(H54="First contact",H54="Permission confirmed"),OR(T54&lt;&gt;"Reviewed and confirmed",U54="",V54="")),AND(H54="Fit qualified",OR(J54&lt;&gt;"Qualified",K54="",M54="",N54="",NOT(ISNUMBER(O54)))),AND(H54="Route recommended",K54=""),AND(OR(H54="Objection",H54="No fit",H54="Lost"),L54="")),"Incomplete","Ready")))</x:f>
      </x:c>
      <x:c r="T54" s="42"/>
      <x:c r="U54" s="42"/>
      <x:c r="V54" s="42"/>
    </x:row>
    <x:row r="55" ht="23" customHeight="1">
      <x:c r="A55" s="42"/>
      <x:c r="B55" s="43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3"/>
      <x:c r="P55" s="42"/>
      <x:c r="Q55" s="44" t="str">
        <x:f>IF(A55="","",IF(OR(H55="First contact",H55="Reply",H55="Positive reply",H55="Permission confirmed"),"C|"&amp;D55&amp;"|"&amp;H55,"O|"&amp;C55&amp;"|"&amp;H55))</x:f>
      </x:c>
      <x:c r="R55" s="44" t="str">
        <x:f>IF(A55="","",IF(S55&lt;&gt;"Ready","Incomplete",IF(COUNTIFS($Q$8:$Q$257,Q55,$S$8:$S$257,"Ready",$B$8:$B$257,"&lt;"&amp;B55)&gt;0,0,IF(COUNTIFS($Q$8:Q55,Q55,$S$8:S55,"Ready",$B$8:B55,B55)=1,1,0))))</x:f>
      </x:c>
      <x:c r="S55" s="44" t="str">
        <x:f>IF(A55="","",IF(COUNTIFS($A$8:$A$257,A55)&gt;1,"Duplicate ID",IF(OR(NOT(ISNUMBER(B55)),C55="",E55="",H55="",P55="",AND(OR(H55="First contact",H55="Reply",H55="Positive reply",H55="Permission confirmed"),D55=""),AND(OR(H55="First contact",H55="Permission confirmed"),OR(T55&lt;&gt;"Reviewed and confirmed",U55="",V55="")),AND(H55="Fit qualified",OR(J55&lt;&gt;"Qualified",K55="",M55="",N55="",NOT(ISNUMBER(O55)))),AND(H55="Route recommended",K55=""),AND(OR(H55="Objection",H55="No fit",H55="Lost"),L55="")),"Incomplete","Ready")))</x:f>
      </x:c>
      <x:c r="T55" s="42"/>
      <x:c r="U55" s="42"/>
      <x:c r="V55" s="42"/>
    </x:row>
    <x:row r="56" ht="23" customHeight="1">
      <x:c r="A56" s="42"/>
      <x:c r="B56" s="43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3"/>
      <x:c r="P56" s="42"/>
      <x:c r="Q56" s="44" t="str">
        <x:f>IF(A56="","",IF(OR(H56="First contact",H56="Reply",H56="Positive reply",H56="Permission confirmed"),"C|"&amp;D56&amp;"|"&amp;H56,"O|"&amp;C56&amp;"|"&amp;H56))</x:f>
      </x:c>
      <x:c r="R56" s="44" t="str">
        <x:f>IF(A56="","",IF(S56&lt;&gt;"Ready","Incomplete",IF(COUNTIFS($Q$8:$Q$257,Q56,$S$8:$S$257,"Ready",$B$8:$B$257,"&lt;"&amp;B56)&gt;0,0,IF(COUNTIFS($Q$8:Q56,Q56,$S$8:S56,"Ready",$B$8:B56,B56)=1,1,0))))</x:f>
      </x:c>
      <x:c r="S56" s="44" t="str">
        <x:f>IF(A56="","",IF(COUNTIFS($A$8:$A$257,A56)&gt;1,"Duplicate ID",IF(OR(NOT(ISNUMBER(B56)),C56="",E56="",H56="",P56="",AND(OR(H56="First contact",H56="Reply",H56="Positive reply",H56="Permission confirmed"),D56=""),AND(OR(H56="First contact",H56="Permission confirmed"),OR(T56&lt;&gt;"Reviewed and confirmed",U56="",V56="")),AND(H56="Fit qualified",OR(J56&lt;&gt;"Qualified",K56="",M56="",N56="",NOT(ISNUMBER(O56)))),AND(H56="Route recommended",K56=""),AND(OR(H56="Objection",H56="No fit",H56="Lost"),L56="")),"Incomplete","Ready")))</x:f>
      </x:c>
      <x:c r="T56" s="42"/>
      <x:c r="U56" s="42"/>
      <x:c r="V56" s="42"/>
    </x:row>
    <x:row r="57" ht="23" customHeight="1">
      <x:c r="A57" s="42"/>
      <x:c r="B57" s="43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3"/>
      <x:c r="P57" s="42"/>
      <x:c r="Q57" s="44" t="str">
        <x:f>IF(A57="","",IF(OR(H57="First contact",H57="Reply",H57="Positive reply",H57="Permission confirmed"),"C|"&amp;D57&amp;"|"&amp;H57,"O|"&amp;C57&amp;"|"&amp;H57))</x:f>
      </x:c>
      <x:c r="R57" s="44" t="str">
        <x:f>IF(A57="","",IF(S57&lt;&gt;"Ready","Incomplete",IF(COUNTIFS($Q$8:$Q$257,Q57,$S$8:$S$257,"Ready",$B$8:$B$257,"&lt;"&amp;B57)&gt;0,0,IF(COUNTIFS($Q$8:Q57,Q57,$S$8:S57,"Ready",$B$8:B57,B57)=1,1,0))))</x:f>
      </x:c>
      <x:c r="S57" s="44" t="str">
        <x:f>IF(A57="","",IF(COUNTIFS($A$8:$A$257,A57)&gt;1,"Duplicate ID",IF(OR(NOT(ISNUMBER(B57)),C57="",E57="",H57="",P57="",AND(OR(H57="First contact",H57="Reply",H57="Positive reply",H57="Permission confirmed"),D57=""),AND(OR(H57="First contact",H57="Permission confirmed"),OR(T57&lt;&gt;"Reviewed and confirmed",U57="",V57="")),AND(H57="Fit qualified",OR(J57&lt;&gt;"Qualified",K57="",M57="",N57="",NOT(ISNUMBER(O57)))),AND(H57="Route recommended",K57=""),AND(OR(H57="Objection",H57="No fit",H57="Lost"),L57="")),"Incomplete","Ready")))</x:f>
      </x:c>
      <x:c r="T57" s="42"/>
      <x:c r="U57" s="42"/>
      <x:c r="V57" s="42"/>
    </x:row>
    <x:row r="58" ht="23" customHeight="1">
      <x:c r="A58" s="42"/>
      <x:c r="B58" s="43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3"/>
      <x:c r="P58" s="42"/>
      <x:c r="Q58" s="44" t="str">
        <x:f>IF(A58="","",IF(OR(H58="First contact",H58="Reply",H58="Positive reply",H58="Permission confirmed"),"C|"&amp;D58&amp;"|"&amp;H58,"O|"&amp;C58&amp;"|"&amp;H58))</x:f>
      </x:c>
      <x:c r="R58" s="44" t="str">
        <x:f>IF(A58="","",IF(S58&lt;&gt;"Ready","Incomplete",IF(COUNTIFS($Q$8:$Q$257,Q58,$S$8:$S$257,"Ready",$B$8:$B$257,"&lt;"&amp;B58)&gt;0,0,IF(COUNTIFS($Q$8:Q58,Q58,$S$8:S58,"Ready",$B$8:B58,B58)=1,1,0))))</x:f>
      </x:c>
      <x:c r="S58" s="44" t="str">
        <x:f>IF(A58="","",IF(COUNTIFS($A$8:$A$257,A58)&gt;1,"Duplicate ID",IF(OR(NOT(ISNUMBER(B58)),C58="",E58="",H58="",P58="",AND(OR(H58="First contact",H58="Reply",H58="Positive reply",H58="Permission confirmed"),D58=""),AND(OR(H58="First contact",H58="Permission confirmed"),OR(T58&lt;&gt;"Reviewed and confirmed",U58="",V58="")),AND(H58="Fit qualified",OR(J58&lt;&gt;"Qualified",K58="",M58="",N58="",NOT(ISNUMBER(O58)))),AND(H58="Route recommended",K58=""),AND(OR(H58="Objection",H58="No fit",H58="Lost"),L58="")),"Incomplete","Ready")))</x:f>
      </x:c>
      <x:c r="T58" s="42"/>
      <x:c r="U58" s="42"/>
      <x:c r="V58" s="42"/>
    </x:row>
    <x:row r="59" ht="23" customHeight="1">
      <x:c r="A59" s="42"/>
      <x:c r="B59" s="43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3"/>
      <x:c r="P59" s="42"/>
      <x:c r="Q59" s="44" t="str">
        <x:f>IF(A59="","",IF(OR(H59="First contact",H59="Reply",H59="Positive reply",H59="Permission confirmed"),"C|"&amp;D59&amp;"|"&amp;H59,"O|"&amp;C59&amp;"|"&amp;H59))</x:f>
      </x:c>
      <x:c r="R59" s="44" t="str">
        <x:f>IF(A59="","",IF(S59&lt;&gt;"Ready","Incomplete",IF(COUNTIFS($Q$8:$Q$257,Q59,$S$8:$S$257,"Ready",$B$8:$B$257,"&lt;"&amp;B59)&gt;0,0,IF(COUNTIFS($Q$8:Q59,Q59,$S$8:S59,"Ready",$B$8:B59,B59)=1,1,0))))</x:f>
      </x:c>
      <x:c r="S59" s="44" t="str">
        <x:f>IF(A59="","",IF(COUNTIFS($A$8:$A$257,A59)&gt;1,"Duplicate ID",IF(OR(NOT(ISNUMBER(B59)),C59="",E59="",H59="",P59="",AND(OR(H59="First contact",H59="Reply",H59="Positive reply",H59="Permission confirmed"),D59=""),AND(OR(H59="First contact",H59="Permission confirmed"),OR(T59&lt;&gt;"Reviewed and confirmed",U59="",V59="")),AND(H59="Fit qualified",OR(J59&lt;&gt;"Qualified",K59="",M59="",N59="",NOT(ISNUMBER(O59)))),AND(H59="Route recommended",K59=""),AND(OR(H59="Objection",H59="No fit",H59="Lost"),L59="")),"Incomplete","Ready")))</x:f>
      </x:c>
      <x:c r="T59" s="42"/>
      <x:c r="U59" s="42"/>
      <x:c r="V59" s="42"/>
    </x:row>
    <x:row r="60" ht="23" customHeight="1">
      <x:c r="A60" s="42"/>
      <x:c r="B60" s="43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3"/>
      <x:c r="P60" s="42"/>
      <x:c r="Q60" s="44" t="str">
        <x:f>IF(A60="","",IF(OR(H60="First contact",H60="Reply",H60="Positive reply",H60="Permission confirmed"),"C|"&amp;D60&amp;"|"&amp;H60,"O|"&amp;C60&amp;"|"&amp;H60))</x:f>
      </x:c>
      <x:c r="R60" s="44" t="str">
        <x:f>IF(A60="","",IF(S60&lt;&gt;"Ready","Incomplete",IF(COUNTIFS($Q$8:$Q$257,Q60,$S$8:$S$257,"Ready",$B$8:$B$257,"&lt;"&amp;B60)&gt;0,0,IF(COUNTIFS($Q$8:Q60,Q60,$S$8:S60,"Ready",$B$8:B60,B60)=1,1,0))))</x:f>
      </x:c>
      <x:c r="S60" s="44" t="str">
        <x:f>IF(A60="","",IF(COUNTIFS($A$8:$A$257,A60)&gt;1,"Duplicate ID",IF(OR(NOT(ISNUMBER(B60)),C60="",E60="",H60="",P60="",AND(OR(H60="First contact",H60="Reply",H60="Positive reply",H60="Permission confirmed"),D60=""),AND(OR(H60="First contact",H60="Permission confirmed"),OR(T60&lt;&gt;"Reviewed and confirmed",U60="",V60="")),AND(H60="Fit qualified",OR(J60&lt;&gt;"Qualified",K60="",M60="",N60="",NOT(ISNUMBER(O60)))),AND(H60="Route recommended",K60=""),AND(OR(H60="Objection",H60="No fit",H60="Lost"),L60="")),"Incomplete","Ready")))</x:f>
      </x:c>
      <x:c r="T60" s="42"/>
      <x:c r="U60" s="42"/>
      <x:c r="V60" s="42"/>
    </x:row>
    <x:row r="61" ht="23" customHeight="1">
      <x:c r="A61" s="42"/>
      <x:c r="B61" s="43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3"/>
      <x:c r="P61" s="42"/>
      <x:c r="Q61" s="44" t="str">
        <x:f>IF(A61="","",IF(OR(H61="First contact",H61="Reply",H61="Positive reply",H61="Permission confirmed"),"C|"&amp;D61&amp;"|"&amp;H61,"O|"&amp;C61&amp;"|"&amp;H61))</x:f>
      </x:c>
      <x:c r="R61" s="44" t="str">
        <x:f>IF(A61="","",IF(S61&lt;&gt;"Ready","Incomplete",IF(COUNTIFS($Q$8:$Q$257,Q61,$S$8:$S$257,"Ready",$B$8:$B$257,"&lt;"&amp;B61)&gt;0,0,IF(COUNTIFS($Q$8:Q61,Q61,$S$8:S61,"Ready",$B$8:B61,B61)=1,1,0))))</x:f>
      </x:c>
      <x:c r="S61" s="44" t="str">
        <x:f>IF(A61="","",IF(COUNTIFS($A$8:$A$257,A61)&gt;1,"Duplicate ID",IF(OR(NOT(ISNUMBER(B61)),C61="",E61="",H61="",P61="",AND(OR(H61="First contact",H61="Reply",H61="Positive reply",H61="Permission confirmed"),D61=""),AND(OR(H61="First contact",H61="Permission confirmed"),OR(T61&lt;&gt;"Reviewed and confirmed",U61="",V61="")),AND(H61="Fit qualified",OR(J61&lt;&gt;"Qualified",K61="",M61="",N61="",NOT(ISNUMBER(O61)))),AND(H61="Route recommended",K61=""),AND(OR(H61="Objection",H61="No fit",H61="Lost"),L61="")),"Incomplete","Ready")))</x:f>
      </x:c>
      <x:c r="T61" s="42"/>
      <x:c r="U61" s="42"/>
      <x:c r="V61" s="42"/>
    </x:row>
    <x:row r="62" ht="23" customHeight="1">
      <x:c r="A62" s="42"/>
      <x:c r="B62" s="43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3"/>
      <x:c r="P62" s="42"/>
      <x:c r="Q62" s="44" t="str">
        <x:f>IF(A62="","",IF(OR(H62="First contact",H62="Reply",H62="Positive reply",H62="Permission confirmed"),"C|"&amp;D62&amp;"|"&amp;H62,"O|"&amp;C62&amp;"|"&amp;H62))</x:f>
      </x:c>
      <x:c r="R62" s="44" t="str">
        <x:f>IF(A62="","",IF(S62&lt;&gt;"Ready","Incomplete",IF(COUNTIFS($Q$8:$Q$257,Q62,$S$8:$S$257,"Ready",$B$8:$B$257,"&lt;"&amp;B62)&gt;0,0,IF(COUNTIFS($Q$8:Q62,Q62,$S$8:S62,"Ready",$B$8:B62,B62)=1,1,0))))</x:f>
      </x:c>
      <x:c r="S62" s="44" t="str">
        <x:f>IF(A62="","",IF(COUNTIFS($A$8:$A$257,A62)&gt;1,"Duplicate ID",IF(OR(NOT(ISNUMBER(B62)),C62="",E62="",H62="",P62="",AND(OR(H62="First contact",H62="Reply",H62="Positive reply",H62="Permission confirmed"),D62=""),AND(OR(H62="First contact",H62="Permission confirmed"),OR(T62&lt;&gt;"Reviewed and confirmed",U62="",V62="")),AND(H62="Fit qualified",OR(J62&lt;&gt;"Qualified",K62="",M62="",N62="",NOT(ISNUMBER(O62)))),AND(H62="Route recommended",K62=""),AND(OR(H62="Objection",H62="No fit",H62="Lost"),L62="")),"Incomplete","Ready")))</x:f>
      </x:c>
      <x:c r="T62" s="42"/>
      <x:c r="U62" s="42"/>
      <x:c r="V62" s="42"/>
    </x:row>
    <x:row r="63" ht="23" customHeight="1">
      <x:c r="A63" s="42"/>
      <x:c r="B63" s="43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3"/>
      <x:c r="P63" s="42"/>
      <x:c r="Q63" s="44" t="str">
        <x:f>IF(A63="","",IF(OR(H63="First contact",H63="Reply",H63="Positive reply",H63="Permission confirmed"),"C|"&amp;D63&amp;"|"&amp;H63,"O|"&amp;C63&amp;"|"&amp;H63))</x:f>
      </x:c>
      <x:c r="R63" s="44" t="str">
        <x:f>IF(A63="","",IF(S63&lt;&gt;"Ready","Incomplete",IF(COUNTIFS($Q$8:$Q$257,Q63,$S$8:$S$257,"Ready",$B$8:$B$257,"&lt;"&amp;B63)&gt;0,0,IF(COUNTIFS($Q$8:Q63,Q63,$S$8:S63,"Ready",$B$8:B63,B63)=1,1,0))))</x:f>
      </x:c>
      <x:c r="S63" s="44" t="str">
        <x:f>IF(A63="","",IF(COUNTIFS($A$8:$A$257,A63)&gt;1,"Duplicate ID",IF(OR(NOT(ISNUMBER(B63)),C63="",E63="",H63="",P63="",AND(OR(H63="First contact",H63="Reply",H63="Positive reply",H63="Permission confirmed"),D63=""),AND(OR(H63="First contact",H63="Permission confirmed"),OR(T63&lt;&gt;"Reviewed and confirmed",U63="",V63="")),AND(H63="Fit qualified",OR(J63&lt;&gt;"Qualified",K63="",M63="",N63="",NOT(ISNUMBER(O63)))),AND(H63="Route recommended",K63=""),AND(OR(H63="Objection",H63="No fit",H63="Lost"),L63="")),"Incomplete","Ready")))</x:f>
      </x:c>
      <x:c r="T63" s="42"/>
      <x:c r="U63" s="42"/>
      <x:c r="V63" s="42"/>
    </x:row>
    <x:row r="64" ht="23" customHeight="1">
      <x:c r="A64" s="42"/>
      <x:c r="B64" s="43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3"/>
      <x:c r="P64" s="42"/>
      <x:c r="Q64" s="44" t="str">
        <x:f>IF(A64="","",IF(OR(H64="First contact",H64="Reply",H64="Positive reply",H64="Permission confirmed"),"C|"&amp;D64&amp;"|"&amp;H64,"O|"&amp;C64&amp;"|"&amp;H64))</x:f>
      </x:c>
      <x:c r="R64" s="44" t="str">
        <x:f>IF(A64="","",IF(S64&lt;&gt;"Ready","Incomplete",IF(COUNTIFS($Q$8:$Q$257,Q64,$S$8:$S$257,"Ready",$B$8:$B$257,"&lt;"&amp;B64)&gt;0,0,IF(COUNTIFS($Q$8:Q64,Q64,$S$8:S64,"Ready",$B$8:B64,B64)=1,1,0))))</x:f>
      </x:c>
      <x:c r="S64" s="44" t="str">
        <x:f>IF(A64="","",IF(COUNTIFS($A$8:$A$257,A64)&gt;1,"Duplicate ID",IF(OR(NOT(ISNUMBER(B64)),C64="",E64="",H64="",P64="",AND(OR(H64="First contact",H64="Reply",H64="Positive reply",H64="Permission confirmed"),D64=""),AND(OR(H64="First contact",H64="Permission confirmed"),OR(T64&lt;&gt;"Reviewed and confirmed",U64="",V64="")),AND(H64="Fit qualified",OR(J64&lt;&gt;"Qualified",K64="",M64="",N64="",NOT(ISNUMBER(O64)))),AND(H64="Route recommended",K64=""),AND(OR(H64="Objection",H64="No fit",H64="Lost"),L64="")),"Incomplete","Ready")))</x:f>
      </x:c>
      <x:c r="T64" s="42"/>
      <x:c r="U64" s="42"/>
      <x:c r="V64" s="42"/>
    </x:row>
    <x:row r="65" ht="23" customHeight="1">
      <x:c r="A65" s="42"/>
      <x:c r="B65" s="43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3"/>
      <x:c r="P65" s="42"/>
      <x:c r="Q65" s="44" t="str">
        <x:f>IF(A65="","",IF(OR(H65="First contact",H65="Reply",H65="Positive reply",H65="Permission confirmed"),"C|"&amp;D65&amp;"|"&amp;H65,"O|"&amp;C65&amp;"|"&amp;H65))</x:f>
      </x:c>
      <x:c r="R65" s="44" t="str">
        <x:f>IF(A65="","",IF(S65&lt;&gt;"Ready","Incomplete",IF(COUNTIFS($Q$8:$Q$257,Q65,$S$8:$S$257,"Ready",$B$8:$B$257,"&lt;"&amp;B65)&gt;0,0,IF(COUNTIFS($Q$8:Q65,Q65,$S$8:S65,"Ready",$B$8:B65,B65)=1,1,0))))</x:f>
      </x:c>
      <x:c r="S65" s="44" t="str">
        <x:f>IF(A65="","",IF(COUNTIFS($A$8:$A$257,A65)&gt;1,"Duplicate ID",IF(OR(NOT(ISNUMBER(B65)),C65="",E65="",H65="",P65="",AND(OR(H65="First contact",H65="Reply",H65="Positive reply",H65="Permission confirmed"),D65=""),AND(OR(H65="First contact",H65="Permission confirmed"),OR(T65&lt;&gt;"Reviewed and confirmed",U65="",V65="")),AND(H65="Fit qualified",OR(J65&lt;&gt;"Qualified",K65="",M65="",N65="",NOT(ISNUMBER(O65)))),AND(H65="Route recommended",K65=""),AND(OR(H65="Objection",H65="No fit",H65="Lost"),L65="")),"Incomplete","Ready")))</x:f>
      </x:c>
      <x:c r="T65" s="42"/>
      <x:c r="U65" s="42"/>
      <x:c r="V65" s="42"/>
    </x:row>
    <x:row r="66" ht="23" customHeight="1">
      <x:c r="A66" s="42"/>
      <x:c r="B66" s="43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3"/>
      <x:c r="P66" s="42"/>
      <x:c r="Q66" s="44" t="str">
        <x:f>IF(A66="","",IF(OR(H66="First contact",H66="Reply",H66="Positive reply",H66="Permission confirmed"),"C|"&amp;D66&amp;"|"&amp;H66,"O|"&amp;C66&amp;"|"&amp;H66))</x:f>
      </x:c>
      <x:c r="R66" s="44" t="str">
        <x:f>IF(A66="","",IF(S66&lt;&gt;"Ready","Incomplete",IF(COUNTIFS($Q$8:$Q$257,Q66,$S$8:$S$257,"Ready",$B$8:$B$257,"&lt;"&amp;B66)&gt;0,0,IF(COUNTIFS($Q$8:Q66,Q66,$S$8:S66,"Ready",$B$8:B66,B66)=1,1,0))))</x:f>
      </x:c>
      <x:c r="S66" s="44" t="str">
        <x:f>IF(A66="","",IF(COUNTIFS($A$8:$A$257,A66)&gt;1,"Duplicate ID",IF(OR(NOT(ISNUMBER(B66)),C66="",E66="",H66="",P66="",AND(OR(H66="First contact",H66="Reply",H66="Positive reply",H66="Permission confirmed"),D66=""),AND(OR(H66="First contact",H66="Permission confirmed"),OR(T66&lt;&gt;"Reviewed and confirmed",U66="",V66="")),AND(H66="Fit qualified",OR(J66&lt;&gt;"Qualified",K66="",M66="",N66="",NOT(ISNUMBER(O66)))),AND(H66="Route recommended",K66=""),AND(OR(H66="Objection",H66="No fit",H66="Lost"),L66="")),"Incomplete","Ready")))</x:f>
      </x:c>
      <x:c r="T66" s="42"/>
      <x:c r="U66" s="42"/>
      <x:c r="V66" s="42"/>
    </x:row>
    <x:row r="67" ht="23" customHeight="1">
      <x:c r="A67" s="42"/>
      <x:c r="B67" s="43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3"/>
      <x:c r="P67" s="42"/>
      <x:c r="Q67" s="44" t="str">
        <x:f>IF(A67="","",IF(OR(H67="First contact",H67="Reply",H67="Positive reply",H67="Permission confirmed"),"C|"&amp;D67&amp;"|"&amp;H67,"O|"&amp;C67&amp;"|"&amp;H67))</x:f>
      </x:c>
      <x:c r="R67" s="44" t="str">
        <x:f>IF(A67="","",IF(S67&lt;&gt;"Ready","Incomplete",IF(COUNTIFS($Q$8:$Q$257,Q67,$S$8:$S$257,"Ready",$B$8:$B$257,"&lt;"&amp;B67)&gt;0,0,IF(COUNTIFS($Q$8:Q67,Q67,$S$8:S67,"Ready",$B$8:B67,B67)=1,1,0))))</x:f>
      </x:c>
      <x:c r="S67" s="44" t="str">
        <x:f>IF(A67="","",IF(COUNTIFS($A$8:$A$257,A67)&gt;1,"Duplicate ID",IF(OR(NOT(ISNUMBER(B67)),C67="",E67="",H67="",P67="",AND(OR(H67="First contact",H67="Reply",H67="Positive reply",H67="Permission confirmed"),D67=""),AND(OR(H67="First contact",H67="Permission confirmed"),OR(T67&lt;&gt;"Reviewed and confirmed",U67="",V67="")),AND(H67="Fit qualified",OR(J67&lt;&gt;"Qualified",K67="",M67="",N67="",NOT(ISNUMBER(O67)))),AND(H67="Route recommended",K67=""),AND(OR(H67="Objection",H67="No fit",H67="Lost"),L67="")),"Incomplete","Ready")))</x:f>
      </x:c>
      <x:c r="T67" s="42"/>
      <x:c r="U67" s="42"/>
      <x:c r="V67" s="42"/>
    </x:row>
    <x:row r="68" ht="23" customHeight="1">
      <x:c r="A68" s="42"/>
      <x:c r="B68" s="43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3"/>
      <x:c r="P68" s="42"/>
      <x:c r="Q68" s="44" t="str">
        <x:f>IF(A68="","",IF(OR(H68="First contact",H68="Reply",H68="Positive reply",H68="Permission confirmed"),"C|"&amp;D68&amp;"|"&amp;H68,"O|"&amp;C68&amp;"|"&amp;H68))</x:f>
      </x:c>
      <x:c r="R68" s="44" t="str">
        <x:f>IF(A68="","",IF(S68&lt;&gt;"Ready","Incomplete",IF(COUNTIFS($Q$8:$Q$257,Q68,$S$8:$S$257,"Ready",$B$8:$B$257,"&lt;"&amp;B68)&gt;0,0,IF(COUNTIFS($Q$8:Q68,Q68,$S$8:S68,"Ready",$B$8:B68,B68)=1,1,0))))</x:f>
      </x:c>
      <x:c r="S68" s="44" t="str">
        <x:f>IF(A68="","",IF(COUNTIFS($A$8:$A$257,A68)&gt;1,"Duplicate ID",IF(OR(NOT(ISNUMBER(B68)),C68="",E68="",H68="",P68="",AND(OR(H68="First contact",H68="Reply",H68="Positive reply",H68="Permission confirmed"),D68=""),AND(OR(H68="First contact",H68="Permission confirmed"),OR(T68&lt;&gt;"Reviewed and confirmed",U68="",V68="")),AND(H68="Fit qualified",OR(J68&lt;&gt;"Qualified",K68="",M68="",N68="",NOT(ISNUMBER(O68)))),AND(H68="Route recommended",K68=""),AND(OR(H68="Objection",H68="No fit",H68="Lost"),L68="")),"Incomplete","Ready")))</x:f>
      </x:c>
      <x:c r="T68" s="42"/>
      <x:c r="U68" s="42"/>
      <x:c r="V68" s="42"/>
    </x:row>
    <x:row r="69" ht="23" customHeight="1">
      <x:c r="A69" s="42"/>
      <x:c r="B69" s="43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3"/>
      <x:c r="P69" s="42"/>
      <x:c r="Q69" s="44" t="str">
        <x:f>IF(A69="","",IF(OR(H69="First contact",H69="Reply",H69="Positive reply",H69="Permission confirmed"),"C|"&amp;D69&amp;"|"&amp;H69,"O|"&amp;C69&amp;"|"&amp;H69))</x:f>
      </x:c>
      <x:c r="R69" s="44" t="str">
        <x:f>IF(A69="","",IF(S69&lt;&gt;"Ready","Incomplete",IF(COUNTIFS($Q$8:$Q$257,Q69,$S$8:$S$257,"Ready",$B$8:$B$257,"&lt;"&amp;B69)&gt;0,0,IF(COUNTIFS($Q$8:Q69,Q69,$S$8:S69,"Ready",$B$8:B69,B69)=1,1,0))))</x:f>
      </x:c>
      <x:c r="S69" s="44" t="str">
        <x:f>IF(A69="","",IF(COUNTIFS($A$8:$A$257,A69)&gt;1,"Duplicate ID",IF(OR(NOT(ISNUMBER(B69)),C69="",E69="",H69="",P69="",AND(OR(H69="First contact",H69="Reply",H69="Positive reply",H69="Permission confirmed"),D69=""),AND(OR(H69="First contact",H69="Permission confirmed"),OR(T69&lt;&gt;"Reviewed and confirmed",U69="",V69="")),AND(H69="Fit qualified",OR(J69&lt;&gt;"Qualified",K69="",M69="",N69="",NOT(ISNUMBER(O69)))),AND(H69="Route recommended",K69=""),AND(OR(H69="Objection",H69="No fit",H69="Lost"),L69="")),"Incomplete","Ready")))</x:f>
      </x:c>
      <x:c r="T69" s="42"/>
      <x:c r="U69" s="42"/>
      <x:c r="V69" s="42"/>
    </x:row>
    <x:row r="70" ht="23" customHeight="1">
      <x:c r="A70" s="42"/>
      <x:c r="B70" s="43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3"/>
      <x:c r="P70" s="42"/>
      <x:c r="Q70" s="44" t="str">
        <x:f>IF(A70="","",IF(OR(H70="First contact",H70="Reply",H70="Positive reply",H70="Permission confirmed"),"C|"&amp;D70&amp;"|"&amp;H70,"O|"&amp;C70&amp;"|"&amp;H70))</x:f>
      </x:c>
      <x:c r="R70" s="44" t="str">
        <x:f>IF(A70="","",IF(S70&lt;&gt;"Ready","Incomplete",IF(COUNTIFS($Q$8:$Q$257,Q70,$S$8:$S$257,"Ready",$B$8:$B$257,"&lt;"&amp;B70)&gt;0,0,IF(COUNTIFS($Q$8:Q70,Q70,$S$8:S70,"Ready",$B$8:B70,B70)=1,1,0))))</x:f>
      </x:c>
      <x:c r="S70" s="44" t="str">
        <x:f>IF(A70="","",IF(COUNTIFS($A$8:$A$257,A70)&gt;1,"Duplicate ID",IF(OR(NOT(ISNUMBER(B70)),C70="",E70="",H70="",P70="",AND(OR(H70="First contact",H70="Reply",H70="Positive reply",H70="Permission confirmed"),D70=""),AND(OR(H70="First contact",H70="Permission confirmed"),OR(T70&lt;&gt;"Reviewed and confirmed",U70="",V70="")),AND(H70="Fit qualified",OR(J70&lt;&gt;"Qualified",K70="",M70="",N70="",NOT(ISNUMBER(O70)))),AND(H70="Route recommended",K70=""),AND(OR(H70="Objection",H70="No fit",H70="Lost"),L70="")),"Incomplete","Ready")))</x:f>
      </x:c>
      <x:c r="T70" s="42"/>
      <x:c r="U70" s="42"/>
      <x:c r="V70" s="42"/>
    </x:row>
    <x:row r="71" ht="23" customHeight="1">
      <x:c r="A71" s="42"/>
      <x:c r="B71" s="43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3"/>
      <x:c r="P71" s="42"/>
      <x:c r="Q71" s="44" t="str">
        <x:f>IF(A71="","",IF(OR(H71="First contact",H71="Reply",H71="Positive reply",H71="Permission confirmed"),"C|"&amp;D71&amp;"|"&amp;H71,"O|"&amp;C71&amp;"|"&amp;H71))</x:f>
      </x:c>
      <x:c r="R71" s="44" t="str">
        <x:f>IF(A71="","",IF(S71&lt;&gt;"Ready","Incomplete",IF(COUNTIFS($Q$8:$Q$257,Q71,$S$8:$S$257,"Ready",$B$8:$B$257,"&lt;"&amp;B71)&gt;0,0,IF(COUNTIFS($Q$8:Q71,Q71,$S$8:S71,"Ready",$B$8:B71,B71)=1,1,0))))</x:f>
      </x:c>
      <x:c r="S71" s="44" t="str">
        <x:f>IF(A71="","",IF(COUNTIFS($A$8:$A$257,A71)&gt;1,"Duplicate ID",IF(OR(NOT(ISNUMBER(B71)),C71="",E71="",H71="",P71="",AND(OR(H71="First contact",H71="Reply",H71="Positive reply",H71="Permission confirmed"),D71=""),AND(OR(H71="First contact",H71="Permission confirmed"),OR(T71&lt;&gt;"Reviewed and confirmed",U71="",V71="")),AND(H71="Fit qualified",OR(J71&lt;&gt;"Qualified",K71="",M71="",N71="",NOT(ISNUMBER(O71)))),AND(H71="Route recommended",K71=""),AND(OR(H71="Objection",H71="No fit",H71="Lost"),L71="")),"Incomplete","Ready")))</x:f>
      </x:c>
      <x:c r="T71" s="42"/>
      <x:c r="U71" s="42"/>
      <x:c r="V71" s="42"/>
    </x:row>
    <x:row r="72" ht="23" customHeight="1">
      <x:c r="A72" s="42"/>
      <x:c r="B72" s="43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3"/>
      <x:c r="P72" s="42"/>
      <x:c r="Q72" s="44" t="str">
        <x:f>IF(A72="","",IF(OR(H72="First contact",H72="Reply",H72="Positive reply",H72="Permission confirmed"),"C|"&amp;D72&amp;"|"&amp;H72,"O|"&amp;C72&amp;"|"&amp;H72))</x:f>
      </x:c>
      <x:c r="R72" s="44" t="str">
        <x:f>IF(A72="","",IF(S72&lt;&gt;"Ready","Incomplete",IF(COUNTIFS($Q$8:$Q$257,Q72,$S$8:$S$257,"Ready",$B$8:$B$257,"&lt;"&amp;B72)&gt;0,0,IF(COUNTIFS($Q$8:Q72,Q72,$S$8:S72,"Ready",$B$8:B72,B72)=1,1,0))))</x:f>
      </x:c>
      <x:c r="S72" s="44" t="str">
        <x:f>IF(A72="","",IF(COUNTIFS($A$8:$A$257,A72)&gt;1,"Duplicate ID",IF(OR(NOT(ISNUMBER(B72)),C72="",E72="",H72="",P72="",AND(OR(H72="First contact",H72="Reply",H72="Positive reply",H72="Permission confirmed"),D72=""),AND(OR(H72="First contact",H72="Permission confirmed"),OR(T72&lt;&gt;"Reviewed and confirmed",U72="",V72="")),AND(H72="Fit qualified",OR(J72&lt;&gt;"Qualified",K72="",M72="",N72="",NOT(ISNUMBER(O72)))),AND(H72="Route recommended",K72=""),AND(OR(H72="Objection",H72="No fit",H72="Lost"),L72="")),"Incomplete","Ready")))</x:f>
      </x:c>
      <x:c r="T72" s="42"/>
      <x:c r="U72" s="42"/>
      <x:c r="V72" s="42"/>
    </x:row>
    <x:row r="73" ht="23" customHeight="1">
      <x:c r="A73" s="42"/>
      <x:c r="B73" s="43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3"/>
      <x:c r="P73" s="42"/>
      <x:c r="Q73" s="44" t="str">
        <x:f>IF(A73="","",IF(OR(H73="First contact",H73="Reply",H73="Positive reply",H73="Permission confirmed"),"C|"&amp;D73&amp;"|"&amp;H73,"O|"&amp;C73&amp;"|"&amp;H73))</x:f>
      </x:c>
      <x:c r="R73" s="44" t="str">
        <x:f>IF(A73="","",IF(S73&lt;&gt;"Ready","Incomplete",IF(COUNTIFS($Q$8:$Q$257,Q73,$S$8:$S$257,"Ready",$B$8:$B$257,"&lt;"&amp;B73)&gt;0,0,IF(COUNTIFS($Q$8:Q73,Q73,$S$8:S73,"Ready",$B$8:B73,B73)=1,1,0))))</x:f>
      </x:c>
      <x:c r="S73" s="44" t="str">
        <x:f>IF(A73="","",IF(COUNTIFS($A$8:$A$257,A73)&gt;1,"Duplicate ID",IF(OR(NOT(ISNUMBER(B73)),C73="",E73="",H73="",P73="",AND(OR(H73="First contact",H73="Reply",H73="Positive reply",H73="Permission confirmed"),D73=""),AND(OR(H73="First contact",H73="Permission confirmed"),OR(T73&lt;&gt;"Reviewed and confirmed",U73="",V73="")),AND(H73="Fit qualified",OR(J73&lt;&gt;"Qualified",K73="",M73="",N73="",NOT(ISNUMBER(O73)))),AND(H73="Route recommended",K73=""),AND(OR(H73="Objection",H73="No fit",H73="Lost"),L73="")),"Incomplete","Ready")))</x:f>
      </x:c>
      <x:c r="T73" s="42"/>
      <x:c r="U73" s="42"/>
      <x:c r="V73" s="42"/>
    </x:row>
    <x:row r="74" ht="23" customHeight="1">
      <x:c r="A74" s="42"/>
      <x:c r="B74" s="43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3"/>
      <x:c r="P74" s="42"/>
      <x:c r="Q74" s="44" t="str">
        <x:f>IF(A74="","",IF(OR(H74="First contact",H74="Reply",H74="Positive reply",H74="Permission confirmed"),"C|"&amp;D74&amp;"|"&amp;H74,"O|"&amp;C74&amp;"|"&amp;H74))</x:f>
      </x:c>
      <x:c r="R74" s="44" t="str">
        <x:f>IF(A74="","",IF(S74&lt;&gt;"Ready","Incomplete",IF(COUNTIFS($Q$8:$Q$257,Q74,$S$8:$S$257,"Ready",$B$8:$B$257,"&lt;"&amp;B74)&gt;0,0,IF(COUNTIFS($Q$8:Q74,Q74,$S$8:S74,"Ready",$B$8:B74,B74)=1,1,0))))</x:f>
      </x:c>
      <x:c r="S74" s="44" t="str">
        <x:f>IF(A74="","",IF(COUNTIFS($A$8:$A$257,A74)&gt;1,"Duplicate ID",IF(OR(NOT(ISNUMBER(B74)),C74="",E74="",H74="",P74="",AND(OR(H74="First contact",H74="Reply",H74="Positive reply",H74="Permission confirmed"),D74=""),AND(OR(H74="First contact",H74="Permission confirmed"),OR(T74&lt;&gt;"Reviewed and confirmed",U74="",V74="")),AND(H74="Fit qualified",OR(J74&lt;&gt;"Qualified",K74="",M74="",N74="",NOT(ISNUMBER(O74)))),AND(H74="Route recommended",K74=""),AND(OR(H74="Objection",H74="No fit",H74="Lost"),L74="")),"Incomplete","Ready")))</x:f>
      </x:c>
      <x:c r="T74" s="42"/>
      <x:c r="U74" s="42"/>
      <x:c r="V74" s="42"/>
    </x:row>
    <x:row r="75" ht="23" customHeight="1">
      <x:c r="A75" s="42"/>
      <x:c r="B75" s="43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3"/>
      <x:c r="P75" s="42"/>
      <x:c r="Q75" s="44" t="str">
        <x:f>IF(A75="","",IF(OR(H75="First contact",H75="Reply",H75="Positive reply",H75="Permission confirmed"),"C|"&amp;D75&amp;"|"&amp;H75,"O|"&amp;C75&amp;"|"&amp;H75))</x:f>
      </x:c>
      <x:c r="R75" s="44" t="str">
        <x:f>IF(A75="","",IF(S75&lt;&gt;"Ready","Incomplete",IF(COUNTIFS($Q$8:$Q$257,Q75,$S$8:$S$257,"Ready",$B$8:$B$257,"&lt;"&amp;B75)&gt;0,0,IF(COUNTIFS($Q$8:Q75,Q75,$S$8:S75,"Ready",$B$8:B75,B75)=1,1,0))))</x:f>
      </x:c>
      <x:c r="S75" s="44" t="str">
        <x:f>IF(A75="","",IF(COUNTIFS($A$8:$A$257,A75)&gt;1,"Duplicate ID",IF(OR(NOT(ISNUMBER(B75)),C75="",E75="",H75="",P75="",AND(OR(H75="First contact",H75="Reply",H75="Positive reply",H75="Permission confirmed"),D75=""),AND(OR(H75="First contact",H75="Permission confirmed"),OR(T75&lt;&gt;"Reviewed and confirmed",U75="",V75="")),AND(H75="Fit qualified",OR(J75&lt;&gt;"Qualified",K75="",M75="",N75="",NOT(ISNUMBER(O75)))),AND(H75="Route recommended",K75=""),AND(OR(H75="Objection",H75="No fit",H75="Lost"),L75="")),"Incomplete","Ready")))</x:f>
      </x:c>
      <x:c r="T75" s="42"/>
      <x:c r="U75" s="42"/>
      <x:c r="V75" s="42"/>
    </x:row>
    <x:row r="76" ht="23" customHeight="1">
      <x:c r="A76" s="42"/>
      <x:c r="B76" s="43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3"/>
      <x:c r="P76" s="42"/>
      <x:c r="Q76" s="44" t="str">
        <x:f>IF(A76="","",IF(OR(H76="First contact",H76="Reply",H76="Positive reply",H76="Permission confirmed"),"C|"&amp;D76&amp;"|"&amp;H76,"O|"&amp;C76&amp;"|"&amp;H76))</x:f>
      </x:c>
      <x:c r="R76" s="44" t="str">
        <x:f>IF(A76="","",IF(S76&lt;&gt;"Ready","Incomplete",IF(COUNTIFS($Q$8:$Q$257,Q76,$S$8:$S$257,"Ready",$B$8:$B$257,"&lt;"&amp;B76)&gt;0,0,IF(COUNTIFS($Q$8:Q76,Q76,$S$8:S76,"Ready",$B$8:B76,B76)=1,1,0))))</x:f>
      </x:c>
      <x:c r="S76" s="44" t="str">
        <x:f>IF(A76="","",IF(COUNTIFS($A$8:$A$257,A76)&gt;1,"Duplicate ID",IF(OR(NOT(ISNUMBER(B76)),C76="",E76="",H76="",P76="",AND(OR(H76="First contact",H76="Reply",H76="Positive reply",H76="Permission confirmed"),D76=""),AND(OR(H76="First contact",H76="Permission confirmed"),OR(T76&lt;&gt;"Reviewed and confirmed",U76="",V76="")),AND(H76="Fit qualified",OR(J76&lt;&gt;"Qualified",K76="",M76="",N76="",NOT(ISNUMBER(O76)))),AND(H76="Route recommended",K76=""),AND(OR(H76="Objection",H76="No fit",H76="Lost"),L76="")),"Incomplete","Ready")))</x:f>
      </x:c>
      <x:c r="T76" s="42"/>
      <x:c r="U76" s="42"/>
      <x:c r="V76" s="42"/>
    </x:row>
    <x:row r="77" ht="23" customHeight="1">
      <x:c r="A77" s="42"/>
      <x:c r="B77" s="43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3"/>
      <x:c r="P77" s="42"/>
      <x:c r="Q77" s="44" t="str">
        <x:f>IF(A77="","",IF(OR(H77="First contact",H77="Reply",H77="Positive reply",H77="Permission confirmed"),"C|"&amp;D77&amp;"|"&amp;H77,"O|"&amp;C77&amp;"|"&amp;H77))</x:f>
      </x:c>
      <x:c r="R77" s="44" t="str">
        <x:f>IF(A77="","",IF(S77&lt;&gt;"Ready","Incomplete",IF(COUNTIFS($Q$8:$Q$257,Q77,$S$8:$S$257,"Ready",$B$8:$B$257,"&lt;"&amp;B77)&gt;0,0,IF(COUNTIFS($Q$8:Q77,Q77,$S$8:S77,"Ready",$B$8:B77,B77)=1,1,0))))</x:f>
      </x:c>
      <x:c r="S77" s="44" t="str">
        <x:f>IF(A77="","",IF(COUNTIFS($A$8:$A$257,A77)&gt;1,"Duplicate ID",IF(OR(NOT(ISNUMBER(B77)),C77="",E77="",H77="",P77="",AND(OR(H77="First contact",H77="Reply",H77="Positive reply",H77="Permission confirmed"),D77=""),AND(OR(H77="First contact",H77="Permission confirmed"),OR(T77&lt;&gt;"Reviewed and confirmed",U77="",V77="")),AND(H77="Fit qualified",OR(J77&lt;&gt;"Qualified",K77="",M77="",N77="",NOT(ISNUMBER(O77)))),AND(H77="Route recommended",K77=""),AND(OR(H77="Objection",H77="No fit",H77="Lost"),L77="")),"Incomplete","Ready")))</x:f>
      </x:c>
      <x:c r="T77" s="42"/>
      <x:c r="U77" s="42"/>
      <x:c r="V77" s="42"/>
    </x:row>
    <x:row r="78" ht="23" customHeight="1">
      <x:c r="A78" s="42"/>
      <x:c r="B78" s="43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3"/>
      <x:c r="P78" s="42"/>
      <x:c r="Q78" s="44" t="str">
        <x:f>IF(A78="","",IF(OR(H78="First contact",H78="Reply",H78="Positive reply",H78="Permission confirmed"),"C|"&amp;D78&amp;"|"&amp;H78,"O|"&amp;C78&amp;"|"&amp;H78))</x:f>
      </x:c>
      <x:c r="R78" s="44" t="str">
        <x:f>IF(A78="","",IF(S78&lt;&gt;"Ready","Incomplete",IF(COUNTIFS($Q$8:$Q$257,Q78,$S$8:$S$257,"Ready",$B$8:$B$257,"&lt;"&amp;B78)&gt;0,0,IF(COUNTIFS($Q$8:Q78,Q78,$S$8:S78,"Ready",$B$8:B78,B78)=1,1,0))))</x:f>
      </x:c>
      <x:c r="S78" s="44" t="str">
        <x:f>IF(A78="","",IF(COUNTIFS($A$8:$A$257,A78)&gt;1,"Duplicate ID",IF(OR(NOT(ISNUMBER(B78)),C78="",E78="",H78="",P78="",AND(OR(H78="First contact",H78="Reply",H78="Positive reply",H78="Permission confirmed"),D78=""),AND(OR(H78="First contact",H78="Permission confirmed"),OR(T78&lt;&gt;"Reviewed and confirmed",U78="",V78="")),AND(H78="Fit qualified",OR(J78&lt;&gt;"Qualified",K78="",M78="",N78="",NOT(ISNUMBER(O78)))),AND(H78="Route recommended",K78=""),AND(OR(H78="Objection",H78="No fit",H78="Lost"),L78="")),"Incomplete","Ready")))</x:f>
      </x:c>
      <x:c r="T78" s="42"/>
      <x:c r="U78" s="42"/>
      <x:c r="V78" s="42"/>
    </x:row>
    <x:row r="79" ht="23" customHeight="1">
      <x:c r="A79" s="42"/>
      <x:c r="B79" s="43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3"/>
      <x:c r="P79" s="42"/>
      <x:c r="Q79" s="44" t="str">
        <x:f>IF(A79="","",IF(OR(H79="First contact",H79="Reply",H79="Positive reply",H79="Permission confirmed"),"C|"&amp;D79&amp;"|"&amp;H79,"O|"&amp;C79&amp;"|"&amp;H79))</x:f>
      </x:c>
      <x:c r="R79" s="44" t="str">
        <x:f>IF(A79="","",IF(S79&lt;&gt;"Ready","Incomplete",IF(COUNTIFS($Q$8:$Q$257,Q79,$S$8:$S$257,"Ready",$B$8:$B$257,"&lt;"&amp;B79)&gt;0,0,IF(COUNTIFS($Q$8:Q79,Q79,$S$8:S79,"Ready",$B$8:B79,B79)=1,1,0))))</x:f>
      </x:c>
      <x:c r="S79" s="44" t="str">
        <x:f>IF(A79="","",IF(COUNTIFS($A$8:$A$257,A79)&gt;1,"Duplicate ID",IF(OR(NOT(ISNUMBER(B79)),C79="",E79="",H79="",P79="",AND(OR(H79="First contact",H79="Reply",H79="Positive reply",H79="Permission confirmed"),D79=""),AND(OR(H79="First contact",H79="Permission confirmed"),OR(T79&lt;&gt;"Reviewed and confirmed",U79="",V79="")),AND(H79="Fit qualified",OR(J79&lt;&gt;"Qualified",K79="",M79="",N79="",NOT(ISNUMBER(O79)))),AND(H79="Route recommended",K79=""),AND(OR(H79="Objection",H79="No fit",H79="Lost"),L79="")),"Incomplete","Ready")))</x:f>
      </x:c>
      <x:c r="T79" s="42"/>
      <x:c r="U79" s="42"/>
      <x:c r="V79" s="42"/>
    </x:row>
    <x:row r="80" ht="23" customHeight="1">
      <x:c r="A80" s="42"/>
      <x:c r="B80" s="43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3"/>
      <x:c r="P80" s="42"/>
      <x:c r="Q80" s="44" t="str">
        <x:f>IF(A80="","",IF(OR(H80="First contact",H80="Reply",H80="Positive reply",H80="Permission confirmed"),"C|"&amp;D80&amp;"|"&amp;H80,"O|"&amp;C80&amp;"|"&amp;H80))</x:f>
      </x:c>
      <x:c r="R80" s="44" t="str">
        <x:f>IF(A80="","",IF(S80&lt;&gt;"Ready","Incomplete",IF(COUNTIFS($Q$8:$Q$257,Q80,$S$8:$S$257,"Ready",$B$8:$B$257,"&lt;"&amp;B80)&gt;0,0,IF(COUNTIFS($Q$8:Q80,Q80,$S$8:S80,"Ready",$B$8:B80,B80)=1,1,0))))</x:f>
      </x:c>
      <x:c r="S80" s="44" t="str">
        <x:f>IF(A80="","",IF(COUNTIFS($A$8:$A$257,A80)&gt;1,"Duplicate ID",IF(OR(NOT(ISNUMBER(B80)),C80="",E80="",H80="",P80="",AND(OR(H80="First contact",H80="Reply",H80="Positive reply",H80="Permission confirmed"),D80=""),AND(OR(H80="First contact",H80="Permission confirmed"),OR(T80&lt;&gt;"Reviewed and confirmed",U80="",V80="")),AND(H80="Fit qualified",OR(J80&lt;&gt;"Qualified",K80="",M80="",N80="",NOT(ISNUMBER(O80)))),AND(H80="Route recommended",K80=""),AND(OR(H80="Objection",H80="No fit",H80="Lost"),L80="")),"Incomplete","Ready")))</x:f>
      </x:c>
      <x:c r="T80" s="42"/>
      <x:c r="U80" s="42"/>
      <x:c r="V80" s="42"/>
    </x:row>
    <x:row r="81" ht="23" customHeight="1">
      <x:c r="A81" s="42"/>
      <x:c r="B81" s="43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3"/>
      <x:c r="P81" s="42"/>
      <x:c r="Q81" s="44" t="str">
        <x:f>IF(A81="","",IF(OR(H81="First contact",H81="Reply",H81="Positive reply",H81="Permission confirmed"),"C|"&amp;D81&amp;"|"&amp;H81,"O|"&amp;C81&amp;"|"&amp;H81))</x:f>
      </x:c>
      <x:c r="R81" s="44" t="str">
        <x:f>IF(A81="","",IF(S81&lt;&gt;"Ready","Incomplete",IF(COUNTIFS($Q$8:$Q$257,Q81,$S$8:$S$257,"Ready",$B$8:$B$257,"&lt;"&amp;B81)&gt;0,0,IF(COUNTIFS($Q$8:Q81,Q81,$S$8:S81,"Ready",$B$8:B81,B81)=1,1,0))))</x:f>
      </x:c>
      <x:c r="S81" s="44" t="str">
        <x:f>IF(A81="","",IF(COUNTIFS($A$8:$A$257,A81)&gt;1,"Duplicate ID",IF(OR(NOT(ISNUMBER(B81)),C81="",E81="",H81="",P81="",AND(OR(H81="First contact",H81="Reply",H81="Positive reply",H81="Permission confirmed"),D81=""),AND(OR(H81="First contact",H81="Permission confirmed"),OR(T81&lt;&gt;"Reviewed and confirmed",U81="",V81="")),AND(H81="Fit qualified",OR(J81&lt;&gt;"Qualified",K81="",M81="",N81="",NOT(ISNUMBER(O81)))),AND(H81="Route recommended",K81=""),AND(OR(H81="Objection",H81="No fit",H81="Lost"),L81="")),"Incomplete","Ready")))</x:f>
      </x:c>
      <x:c r="T81" s="42"/>
      <x:c r="U81" s="42"/>
      <x:c r="V81" s="42"/>
    </x:row>
    <x:row r="82" ht="23" customHeight="1">
      <x:c r="A82" s="42"/>
      <x:c r="B82" s="43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3"/>
      <x:c r="P82" s="42"/>
      <x:c r="Q82" s="44" t="str">
        <x:f>IF(A82="","",IF(OR(H82="First contact",H82="Reply",H82="Positive reply",H82="Permission confirmed"),"C|"&amp;D82&amp;"|"&amp;H82,"O|"&amp;C82&amp;"|"&amp;H82))</x:f>
      </x:c>
      <x:c r="R82" s="44" t="str">
        <x:f>IF(A82="","",IF(S82&lt;&gt;"Ready","Incomplete",IF(COUNTIFS($Q$8:$Q$257,Q82,$S$8:$S$257,"Ready",$B$8:$B$257,"&lt;"&amp;B82)&gt;0,0,IF(COUNTIFS($Q$8:Q82,Q82,$S$8:S82,"Ready",$B$8:B82,B82)=1,1,0))))</x:f>
      </x:c>
      <x:c r="S82" s="44" t="str">
        <x:f>IF(A82="","",IF(COUNTIFS($A$8:$A$257,A82)&gt;1,"Duplicate ID",IF(OR(NOT(ISNUMBER(B82)),C82="",E82="",H82="",P82="",AND(OR(H82="First contact",H82="Reply",H82="Positive reply",H82="Permission confirmed"),D82=""),AND(OR(H82="First contact",H82="Permission confirmed"),OR(T82&lt;&gt;"Reviewed and confirmed",U82="",V82="")),AND(H82="Fit qualified",OR(J82&lt;&gt;"Qualified",K82="",M82="",N82="",NOT(ISNUMBER(O82)))),AND(H82="Route recommended",K82=""),AND(OR(H82="Objection",H82="No fit",H82="Lost"),L82="")),"Incomplete","Ready")))</x:f>
      </x:c>
      <x:c r="T82" s="42"/>
      <x:c r="U82" s="42"/>
      <x:c r="V82" s="42"/>
    </x:row>
    <x:row r="83" ht="23" customHeight="1">
      <x:c r="A83" s="42"/>
      <x:c r="B83" s="43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3"/>
      <x:c r="P83" s="42"/>
      <x:c r="Q83" s="44" t="str">
        <x:f>IF(A83="","",IF(OR(H83="First contact",H83="Reply",H83="Positive reply",H83="Permission confirmed"),"C|"&amp;D83&amp;"|"&amp;H83,"O|"&amp;C83&amp;"|"&amp;H83))</x:f>
      </x:c>
      <x:c r="R83" s="44" t="str">
        <x:f>IF(A83="","",IF(S83&lt;&gt;"Ready","Incomplete",IF(COUNTIFS($Q$8:$Q$257,Q83,$S$8:$S$257,"Ready",$B$8:$B$257,"&lt;"&amp;B83)&gt;0,0,IF(COUNTIFS($Q$8:Q83,Q83,$S$8:S83,"Ready",$B$8:B83,B83)=1,1,0))))</x:f>
      </x:c>
      <x:c r="S83" s="44" t="str">
        <x:f>IF(A83="","",IF(COUNTIFS($A$8:$A$257,A83)&gt;1,"Duplicate ID",IF(OR(NOT(ISNUMBER(B83)),C83="",E83="",H83="",P83="",AND(OR(H83="First contact",H83="Reply",H83="Positive reply",H83="Permission confirmed"),D83=""),AND(OR(H83="First contact",H83="Permission confirmed"),OR(T83&lt;&gt;"Reviewed and confirmed",U83="",V83="")),AND(H83="Fit qualified",OR(J83&lt;&gt;"Qualified",K83="",M83="",N83="",NOT(ISNUMBER(O83)))),AND(H83="Route recommended",K83=""),AND(OR(H83="Objection",H83="No fit",H83="Lost"),L83="")),"Incomplete","Ready")))</x:f>
      </x:c>
      <x:c r="T83" s="42"/>
      <x:c r="U83" s="42"/>
      <x:c r="V83" s="42"/>
    </x:row>
    <x:row r="84" ht="23" customHeight="1">
      <x:c r="A84" s="42"/>
      <x:c r="B84" s="43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3"/>
      <x:c r="P84" s="42"/>
      <x:c r="Q84" s="44" t="str">
        <x:f>IF(A84="","",IF(OR(H84="First contact",H84="Reply",H84="Positive reply",H84="Permission confirmed"),"C|"&amp;D84&amp;"|"&amp;H84,"O|"&amp;C84&amp;"|"&amp;H84))</x:f>
      </x:c>
      <x:c r="R84" s="44" t="str">
        <x:f>IF(A84="","",IF(S84&lt;&gt;"Ready","Incomplete",IF(COUNTIFS($Q$8:$Q$257,Q84,$S$8:$S$257,"Ready",$B$8:$B$257,"&lt;"&amp;B84)&gt;0,0,IF(COUNTIFS($Q$8:Q84,Q84,$S$8:S84,"Ready",$B$8:B84,B84)=1,1,0))))</x:f>
      </x:c>
      <x:c r="S84" s="44" t="str">
        <x:f>IF(A84="","",IF(COUNTIFS($A$8:$A$257,A84)&gt;1,"Duplicate ID",IF(OR(NOT(ISNUMBER(B84)),C84="",E84="",H84="",P84="",AND(OR(H84="First contact",H84="Reply",H84="Positive reply",H84="Permission confirmed"),D84=""),AND(OR(H84="First contact",H84="Permission confirmed"),OR(T84&lt;&gt;"Reviewed and confirmed",U84="",V84="")),AND(H84="Fit qualified",OR(J84&lt;&gt;"Qualified",K84="",M84="",N84="",NOT(ISNUMBER(O84)))),AND(H84="Route recommended",K84=""),AND(OR(H84="Objection",H84="No fit",H84="Lost"),L84="")),"Incomplete","Ready")))</x:f>
      </x:c>
      <x:c r="T84" s="42"/>
      <x:c r="U84" s="42"/>
      <x:c r="V84" s="42"/>
    </x:row>
    <x:row r="85" ht="23" customHeight="1">
      <x:c r="A85" s="42"/>
      <x:c r="B85" s="43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3"/>
      <x:c r="P85" s="42"/>
      <x:c r="Q85" s="44" t="str">
        <x:f>IF(A85="","",IF(OR(H85="First contact",H85="Reply",H85="Positive reply",H85="Permission confirmed"),"C|"&amp;D85&amp;"|"&amp;H85,"O|"&amp;C85&amp;"|"&amp;H85))</x:f>
      </x:c>
      <x:c r="R85" s="44" t="str">
        <x:f>IF(A85="","",IF(S85&lt;&gt;"Ready","Incomplete",IF(COUNTIFS($Q$8:$Q$257,Q85,$S$8:$S$257,"Ready",$B$8:$B$257,"&lt;"&amp;B85)&gt;0,0,IF(COUNTIFS($Q$8:Q85,Q85,$S$8:S85,"Ready",$B$8:B85,B85)=1,1,0))))</x:f>
      </x:c>
      <x:c r="S85" s="44" t="str">
        <x:f>IF(A85="","",IF(COUNTIFS($A$8:$A$257,A85)&gt;1,"Duplicate ID",IF(OR(NOT(ISNUMBER(B85)),C85="",E85="",H85="",P85="",AND(OR(H85="First contact",H85="Reply",H85="Positive reply",H85="Permission confirmed"),D85=""),AND(OR(H85="First contact",H85="Permission confirmed"),OR(T85&lt;&gt;"Reviewed and confirmed",U85="",V85="")),AND(H85="Fit qualified",OR(J85&lt;&gt;"Qualified",K85="",M85="",N85="",NOT(ISNUMBER(O85)))),AND(H85="Route recommended",K85=""),AND(OR(H85="Objection",H85="No fit",H85="Lost"),L85="")),"Incomplete","Ready")))</x:f>
      </x:c>
      <x:c r="T85" s="42"/>
      <x:c r="U85" s="42"/>
      <x:c r="V85" s="42"/>
    </x:row>
    <x:row r="86" ht="23" customHeight="1">
      <x:c r="A86" s="42"/>
      <x:c r="B86" s="43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3"/>
      <x:c r="P86" s="42"/>
      <x:c r="Q86" s="44" t="str">
        <x:f>IF(A86="","",IF(OR(H86="First contact",H86="Reply",H86="Positive reply",H86="Permission confirmed"),"C|"&amp;D86&amp;"|"&amp;H86,"O|"&amp;C86&amp;"|"&amp;H86))</x:f>
      </x:c>
      <x:c r="R86" s="44" t="str">
        <x:f>IF(A86="","",IF(S86&lt;&gt;"Ready","Incomplete",IF(COUNTIFS($Q$8:$Q$257,Q86,$S$8:$S$257,"Ready",$B$8:$B$257,"&lt;"&amp;B86)&gt;0,0,IF(COUNTIFS($Q$8:Q86,Q86,$S$8:S86,"Ready",$B$8:B86,B86)=1,1,0))))</x:f>
      </x:c>
      <x:c r="S86" s="44" t="str">
        <x:f>IF(A86="","",IF(COUNTIFS($A$8:$A$257,A86)&gt;1,"Duplicate ID",IF(OR(NOT(ISNUMBER(B86)),C86="",E86="",H86="",P86="",AND(OR(H86="First contact",H86="Reply",H86="Positive reply",H86="Permission confirmed"),D86=""),AND(OR(H86="First contact",H86="Permission confirmed"),OR(T86&lt;&gt;"Reviewed and confirmed",U86="",V86="")),AND(H86="Fit qualified",OR(J86&lt;&gt;"Qualified",K86="",M86="",N86="",NOT(ISNUMBER(O86)))),AND(H86="Route recommended",K86=""),AND(OR(H86="Objection",H86="No fit",H86="Lost"),L86="")),"Incomplete","Ready")))</x:f>
      </x:c>
      <x:c r="T86" s="42"/>
      <x:c r="U86" s="42"/>
      <x:c r="V86" s="42"/>
    </x:row>
    <x:row r="87" ht="23" customHeight="1">
      <x:c r="A87" s="42"/>
      <x:c r="B87" s="43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3"/>
      <x:c r="P87" s="42"/>
      <x:c r="Q87" s="44" t="str">
        <x:f>IF(A87="","",IF(OR(H87="First contact",H87="Reply",H87="Positive reply",H87="Permission confirmed"),"C|"&amp;D87&amp;"|"&amp;H87,"O|"&amp;C87&amp;"|"&amp;H87))</x:f>
      </x:c>
      <x:c r="R87" s="44" t="str">
        <x:f>IF(A87="","",IF(S87&lt;&gt;"Ready","Incomplete",IF(COUNTIFS($Q$8:$Q$257,Q87,$S$8:$S$257,"Ready",$B$8:$B$257,"&lt;"&amp;B87)&gt;0,0,IF(COUNTIFS($Q$8:Q87,Q87,$S$8:S87,"Ready",$B$8:B87,B87)=1,1,0))))</x:f>
      </x:c>
      <x:c r="S87" s="44" t="str">
        <x:f>IF(A87="","",IF(COUNTIFS($A$8:$A$257,A87)&gt;1,"Duplicate ID",IF(OR(NOT(ISNUMBER(B87)),C87="",E87="",H87="",P87="",AND(OR(H87="First contact",H87="Reply",H87="Positive reply",H87="Permission confirmed"),D87=""),AND(OR(H87="First contact",H87="Permission confirmed"),OR(T87&lt;&gt;"Reviewed and confirmed",U87="",V87="")),AND(H87="Fit qualified",OR(J87&lt;&gt;"Qualified",K87="",M87="",N87="",NOT(ISNUMBER(O87)))),AND(H87="Route recommended",K87=""),AND(OR(H87="Objection",H87="No fit",H87="Lost"),L87="")),"Incomplete","Ready")))</x:f>
      </x:c>
      <x:c r="T87" s="42"/>
      <x:c r="U87" s="42"/>
      <x:c r="V87" s="42"/>
    </x:row>
    <x:row r="88" ht="23" customHeight="1">
      <x:c r="A88" s="42"/>
      <x:c r="B88" s="43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3"/>
      <x:c r="P88" s="42"/>
      <x:c r="Q88" s="44" t="str">
        <x:f>IF(A88="","",IF(OR(H88="First contact",H88="Reply",H88="Positive reply",H88="Permission confirmed"),"C|"&amp;D88&amp;"|"&amp;H88,"O|"&amp;C88&amp;"|"&amp;H88))</x:f>
      </x:c>
      <x:c r="R88" s="44" t="str">
        <x:f>IF(A88="","",IF(S88&lt;&gt;"Ready","Incomplete",IF(COUNTIFS($Q$8:$Q$257,Q88,$S$8:$S$257,"Ready",$B$8:$B$257,"&lt;"&amp;B88)&gt;0,0,IF(COUNTIFS($Q$8:Q88,Q88,$S$8:S88,"Ready",$B$8:B88,B88)=1,1,0))))</x:f>
      </x:c>
      <x:c r="S88" s="44" t="str">
        <x:f>IF(A88="","",IF(COUNTIFS($A$8:$A$257,A88)&gt;1,"Duplicate ID",IF(OR(NOT(ISNUMBER(B88)),C88="",E88="",H88="",P88="",AND(OR(H88="First contact",H88="Reply",H88="Positive reply",H88="Permission confirmed"),D88=""),AND(OR(H88="First contact",H88="Permission confirmed"),OR(T88&lt;&gt;"Reviewed and confirmed",U88="",V88="")),AND(H88="Fit qualified",OR(J88&lt;&gt;"Qualified",K88="",M88="",N88="",NOT(ISNUMBER(O88)))),AND(H88="Route recommended",K88=""),AND(OR(H88="Objection",H88="No fit",H88="Lost"),L88="")),"Incomplete","Ready")))</x:f>
      </x:c>
      <x:c r="T88" s="42"/>
      <x:c r="U88" s="42"/>
      <x:c r="V88" s="42"/>
    </x:row>
    <x:row r="89" ht="23" customHeight="1">
      <x:c r="A89" s="42"/>
      <x:c r="B89" s="43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3"/>
      <x:c r="P89" s="42"/>
      <x:c r="Q89" s="44" t="str">
        <x:f>IF(A89="","",IF(OR(H89="First contact",H89="Reply",H89="Positive reply",H89="Permission confirmed"),"C|"&amp;D89&amp;"|"&amp;H89,"O|"&amp;C89&amp;"|"&amp;H89))</x:f>
      </x:c>
      <x:c r="R89" s="44" t="str">
        <x:f>IF(A89="","",IF(S89&lt;&gt;"Ready","Incomplete",IF(COUNTIFS($Q$8:$Q$257,Q89,$S$8:$S$257,"Ready",$B$8:$B$257,"&lt;"&amp;B89)&gt;0,0,IF(COUNTIFS($Q$8:Q89,Q89,$S$8:S89,"Ready",$B$8:B89,B89)=1,1,0))))</x:f>
      </x:c>
      <x:c r="S89" s="44" t="str">
        <x:f>IF(A89="","",IF(COUNTIFS($A$8:$A$257,A89)&gt;1,"Duplicate ID",IF(OR(NOT(ISNUMBER(B89)),C89="",E89="",H89="",P89="",AND(OR(H89="First contact",H89="Reply",H89="Positive reply",H89="Permission confirmed"),D89=""),AND(OR(H89="First contact",H89="Permission confirmed"),OR(T89&lt;&gt;"Reviewed and confirmed",U89="",V89="")),AND(H89="Fit qualified",OR(J89&lt;&gt;"Qualified",K89="",M89="",N89="",NOT(ISNUMBER(O89)))),AND(H89="Route recommended",K89=""),AND(OR(H89="Objection",H89="No fit",H89="Lost"),L89="")),"Incomplete","Ready")))</x:f>
      </x:c>
      <x:c r="T89" s="42"/>
      <x:c r="U89" s="42"/>
      <x:c r="V89" s="42"/>
    </x:row>
    <x:row r="90" ht="23" customHeight="1">
      <x:c r="A90" s="42"/>
      <x:c r="B90" s="43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3"/>
      <x:c r="P90" s="42"/>
      <x:c r="Q90" s="44" t="str">
        <x:f>IF(A90="","",IF(OR(H90="First contact",H90="Reply",H90="Positive reply",H90="Permission confirmed"),"C|"&amp;D90&amp;"|"&amp;H90,"O|"&amp;C90&amp;"|"&amp;H90))</x:f>
      </x:c>
      <x:c r="R90" s="44" t="str">
        <x:f>IF(A90="","",IF(S90&lt;&gt;"Ready","Incomplete",IF(COUNTIFS($Q$8:$Q$257,Q90,$S$8:$S$257,"Ready",$B$8:$B$257,"&lt;"&amp;B90)&gt;0,0,IF(COUNTIFS($Q$8:Q90,Q90,$S$8:S90,"Ready",$B$8:B90,B90)=1,1,0))))</x:f>
      </x:c>
      <x:c r="S90" s="44" t="str">
        <x:f>IF(A90="","",IF(COUNTIFS($A$8:$A$257,A90)&gt;1,"Duplicate ID",IF(OR(NOT(ISNUMBER(B90)),C90="",E90="",H90="",P90="",AND(OR(H90="First contact",H90="Reply",H90="Positive reply",H90="Permission confirmed"),D90=""),AND(OR(H90="First contact",H90="Permission confirmed"),OR(T90&lt;&gt;"Reviewed and confirmed",U90="",V90="")),AND(H90="Fit qualified",OR(J90&lt;&gt;"Qualified",K90="",M90="",N90="",NOT(ISNUMBER(O90)))),AND(H90="Route recommended",K90=""),AND(OR(H90="Objection",H90="No fit",H90="Lost"),L90="")),"Incomplete","Ready")))</x:f>
      </x:c>
      <x:c r="T90" s="42"/>
      <x:c r="U90" s="42"/>
      <x:c r="V90" s="42"/>
    </x:row>
    <x:row r="91" ht="23" customHeight="1">
      <x:c r="A91" s="42"/>
      <x:c r="B91" s="43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3"/>
      <x:c r="P91" s="42"/>
      <x:c r="Q91" s="44" t="str">
        <x:f>IF(A91="","",IF(OR(H91="First contact",H91="Reply",H91="Positive reply",H91="Permission confirmed"),"C|"&amp;D91&amp;"|"&amp;H91,"O|"&amp;C91&amp;"|"&amp;H91))</x:f>
      </x:c>
      <x:c r="R91" s="44" t="str">
        <x:f>IF(A91="","",IF(S91&lt;&gt;"Ready","Incomplete",IF(COUNTIFS($Q$8:$Q$257,Q91,$S$8:$S$257,"Ready",$B$8:$B$257,"&lt;"&amp;B91)&gt;0,0,IF(COUNTIFS($Q$8:Q91,Q91,$S$8:S91,"Ready",$B$8:B91,B91)=1,1,0))))</x:f>
      </x:c>
      <x:c r="S91" s="44" t="str">
        <x:f>IF(A91="","",IF(COUNTIFS($A$8:$A$257,A91)&gt;1,"Duplicate ID",IF(OR(NOT(ISNUMBER(B91)),C91="",E91="",H91="",P91="",AND(OR(H91="First contact",H91="Reply",H91="Positive reply",H91="Permission confirmed"),D91=""),AND(OR(H91="First contact",H91="Permission confirmed"),OR(T91&lt;&gt;"Reviewed and confirmed",U91="",V91="")),AND(H91="Fit qualified",OR(J91&lt;&gt;"Qualified",K91="",M91="",N91="",NOT(ISNUMBER(O91)))),AND(H91="Route recommended",K91=""),AND(OR(H91="Objection",H91="No fit",H91="Lost"),L91="")),"Incomplete","Ready")))</x:f>
      </x:c>
      <x:c r="T91" s="42"/>
      <x:c r="U91" s="42"/>
      <x:c r="V91" s="42"/>
    </x:row>
    <x:row r="92" ht="23" customHeight="1">
      <x:c r="A92" s="42"/>
      <x:c r="B92" s="43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3"/>
      <x:c r="P92" s="42"/>
      <x:c r="Q92" s="44" t="str">
        <x:f>IF(A92="","",IF(OR(H92="First contact",H92="Reply",H92="Positive reply",H92="Permission confirmed"),"C|"&amp;D92&amp;"|"&amp;H92,"O|"&amp;C92&amp;"|"&amp;H92))</x:f>
      </x:c>
      <x:c r="R92" s="44" t="str">
        <x:f>IF(A92="","",IF(S92&lt;&gt;"Ready","Incomplete",IF(COUNTIFS($Q$8:$Q$257,Q92,$S$8:$S$257,"Ready",$B$8:$B$257,"&lt;"&amp;B92)&gt;0,0,IF(COUNTIFS($Q$8:Q92,Q92,$S$8:S92,"Ready",$B$8:B92,B92)=1,1,0))))</x:f>
      </x:c>
      <x:c r="S92" s="44" t="str">
        <x:f>IF(A92="","",IF(COUNTIFS($A$8:$A$257,A92)&gt;1,"Duplicate ID",IF(OR(NOT(ISNUMBER(B92)),C92="",E92="",H92="",P92="",AND(OR(H92="First contact",H92="Reply",H92="Positive reply",H92="Permission confirmed"),D92=""),AND(OR(H92="First contact",H92="Permission confirmed"),OR(T92&lt;&gt;"Reviewed and confirmed",U92="",V92="")),AND(H92="Fit qualified",OR(J92&lt;&gt;"Qualified",K92="",M92="",N92="",NOT(ISNUMBER(O92)))),AND(H92="Route recommended",K92=""),AND(OR(H92="Objection",H92="No fit",H92="Lost"),L92="")),"Incomplete","Ready")))</x:f>
      </x:c>
      <x:c r="T92" s="42"/>
      <x:c r="U92" s="42"/>
      <x:c r="V92" s="42"/>
    </x:row>
    <x:row r="93" ht="23" customHeight="1">
      <x:c r="A93" s="42"/>
      <x:c r="B93" s="43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3"/>
      <x:c r="P93" s="42"/>
      <x:c r="Q93" s="44" t="str">
        <x:f>IF(A93="","",IF(OR(H93="First contact",H93="Reply",H93="Positive reply",H93="Permission confirmed"),"C|"&amp;D93&amp;"|"&amp;H93,"O|"&amp;C93&amp;"|"&amp;H93))</x:f>
      </x:c>
      <x:c r="R93" s="44" t="str">
        <x:f>IF(A93="","",IF(S93&lt;&gt;"Ready","Incomplete",IF(COUNTIFS($Q$8:$Q$257,Q93,$S$8:$S$257,"Ready",$B$8:$B$257,"&lt;"&amp;B93)&gt;0,0,IF(COUNTIFS($Q$8:Q93,Q93,$S$8:S93,"Ready",$B$8:B93,B93)=1,1,0))))</x:f>
      </x:c>
      <x:c r="S93" s="44" t="str">
        <x:f>IF(A93="","",IF(COUNTIFS($A$8:$A$257,A93)&gt;1,"Duplicate ID",IF(OR(NOT(ISNUMBER(B93)),C93="",E93="",H93="",P93="",AND(OR(H93="First contact",H93="Reply",H93="Positive reply",H93="Permission confirmed"),D93=""),AND(OR(H93="First contact",H93="Permission confirmed"),OR(T93&lt;&gt;"Reviewed and confirmed",U93="",V93="")),AND(H93="Fit qualified",OR(J93&lt;&gt;"Qualified",K93="",M93="",N93="",NOT(ISNUMBER(O93)))),AND(H93="Route recommended",K93=""),AND(OR(H93="Objection",H93="No fit",H93="Lost"),L93="")),"Incomplete","Ready")))</x:f>
      </x:c>
      <x:c r="T93" s="42"/>
      <x:c r="U93" s="42"/>
      <x:c r="V93" s="42"/>
    </x:row>
    <x:row r="94" ht="23" customHeight="1">
      <x:c r="A94" s="42"/>
      <x:c r="B94" s="43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3"/>
      <x:c r="P94" s="42"/>
      <x:c r="Q94" s="44" t="str">
        <x:f>IF(A94="","",IF(OR(H94="First contact",H94="Reply",H94="Positive reply",H94="Permission confirmed"),"C|"&amp;D94&amp;"|"&amp;H94,"O|"&amp;C94&amp;"|"&amp;H94))</x:f>
      </x:c>
      <x:c r="R94" s="44" t="str">
        <x:f>IF(A94="","",IF(S94&lt;&gt;"Ready","Incomplete",IF(COUNTIFS($Q$8:$Q$257,Q94,$S$8:$S$257,"Ready",$B$8:$B$257,"&lt;"&amp;B94)&gt;0,0,IF(COUNTIFS($Q$8:Q94,Q94,$S$8:S94,"Ready",$B$8:B94,B94)=1,1,0))))</x:f>
      </x:c>
      <x:c r="S94" s="44" t="str">
        <x:f>IF(A94="","",IF(COUNTIFS($A$8:$A$257,A94)&gt;1,"Duplicate ID",IF(OR(NOT(ISNUMBER(B94)),C94="",E94="",H94="",P94="",AND(OR(H94="First contact",H94="Reply",H94="Positive reply",H94="Permission confirmed"),D94=""),AND(OR(H94="First contact",H94="Permission confirmed"),OR(T94&lt;&gt;"Reviewed and confirmed",U94="",V94="")),AND(H94="Fit qualified",OR(J94&lt;&gt;"Qualified",K94="",M94="",N94="",NOT(ISNUMBER(O94)))),AND(H94="Route recommended",K94=""),AND(OR(H94="Objection",H94="No fit",H94="Lost"),L94="")),"Incomplete","Ready")))</x:f>
      </x:c>
      <x:c r="T94" s="42"/>
      <x:c r="U94" s="42"/>
      <x:c r="V94" s="42"/>
    </x:row>
    <x:row r="95" ht="23" customHeight="1">
      <x:c r="A95" s="42"/>
      <x:c r="B95" s="43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3"/>
      <x:c r="P95" s="42"/>
      <x:c r="Q95" s="44" t="str">
        <x:f>IF(A95="","",IF(OR(H95="First contact",H95="Reply",H95="Positive reply",H95="Permission confirmed"),"C|"&amp;D95&amp;"|"&amp;H95,"O|"&amp;C95&amp;"|"&amp;H95))</x:f>
      </x:c>
      <x:c r="R95" s="44" t="str">
        <x:f>IF(A95="","",IF(S95&lt;&gt;"Ready","Incomplete",IF(COUNTIFS($Q$8:$Q$257,Q95,$S$8:$S$257,"Ready",$B$8:$B$257,"&lt;"&amp;B95)&gt;0,0,IF(COUNTIFS($Q$8:Q95,Q95,$S$8:S95,"Ready",$B$8:B95,B95)=1,1,0))))</x:f>
      </x:c>
      <x:c r="S95" s="44" t="str">
        <x:f>IF(A95="","",IF(COUNTIFS($A$8:$A$257,A95)&gt;1,"Duplicate ID",IF(OR(NOT(ISNUMBER(B95)),C95="",E95="",H95="",P95="",AND(OR(H95="First contact",H95="Reply",H95="Positive reply",H95="Permission confirmed"),D95=""),AND(OR(H95="First contact",H95="Permission confirmed"),OR(T95&lt;&gt;"Reviewed and confirmed",U95="",V95="")),AND(H95="Fit qualified",OR(J95&lt;&gt;"Qualified",K95="",M95="",N95="",NOT(ISNUMBER(O95)))),AND(H95="Route recommended",K95=""),AND(OR(H95="Objection",H95="No fit",H95="Lost"),L95="")),"Incomplete","Ready")))</x:f>
      </x:c>
      <x:c r="T95" s="42"/>
      <x:c r="U95" s="42"/>
      <x:c r="V95" s="42"/>
    </x:row>
    <x:row r="96" ht="23" customHeight="1">
      <x:c r="A96" s="42"/>
      <x:c r="B96" s="43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3"/>
      <x:c r="P96" s="42"/>
      <x:c r="Q96" s="44" t="str">
        <x:f>IF(A96="","",IF(OR(H96="First contact",H96="Reply",H96="Positive reply",H96="Permission confirmed"),"C|"&amp;D96&amp;"|"&amp;H96,"O|"&amp;C96&amp;"|"&amp;H96))</x:f>
      </x:c>
      <x:c r="R96" s="44" t="str">
        <x:f>IF(A96="","",IF(S96&lt;&gt;"Ready","Incomplete",IF(COUNTIFS($Q$8:$Q$257,Q96,$S$8:$S$257,"Ready",$B$8:$B$257,"&lt;"&amp;B96)&gt;0,0,IF(COUNTIFS($Q$8:Q96,Q96,$S$8:S96,"Ready",$B$8:B96,B96)=1,1,0))))</x:f>
      </x:c>
      <x:c r="S96" s="44" t="str">
        <x:f>IF(A96="","",IF(COUNTIFS($A$8:$A$257,A96)&gt;1,"Duplicate ID",IF(OR(NOT(ISNUMBER(B96)),C96="",E96="",H96="",P96="",AND(OR(H96="First contact",H96="Reply",H96="Positive reply",H96="Permission confirmed"),D96=""),AND(OR(H96="First contact",H96="Permission confirmed"),OR(T96&lt;&gt;"Reviewed and confirmed",U96="",V96="")),AND(H96="Fit qualified",OR(J96&lt;&gt;"Qualified",K96="",M96="",N96="",NOT(ISNUMBER(O96)))),AND(H96="Route recommended",K96=""),AND(OR(H96="Objection",H96="No fit",H96="Lost"),L96="")),"Incomplete","Ready")))</x:f>
      </x:c>
      <x:c r="T96" s="42"/>
      <x:c r="U96" s="42"/>
      <x:c r="V96" s="42"/>
    </x:row>
    <x:row r="97" ht="23" customHeight="1">
      <x:c r="A97" s="42"/>
      <x:c r="B97" s="43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3"/>
      <x:c r="P97" s="42"/>
      <x:c r="Q97" s="44" t="str">
        <x:f>IF(A97="","",IF(OR(H97="First contact",H97="Reply",H97="Positive reply",H97="Permission confirmed"),"C|"&amp;D97&amp;"|"&amp;H97,"O|"&amp;C97&amp;"|"&amp;H97))</x:f>
      </x:c>
      <x:c r="R97" s="44" t="str">
        <x:f>IF(A97="","",IF(S97&lt;&gt;"Ready","Incomplete",IF(COUNTIFS($Q$8:$Q$257,Q97,$S$8:$S$257,"Ready",$B$8:$B$257,"&lt;"&amp;B97)&gt;0,0,IF(COUNTIFS($Q$8:Q97,Q97,$S$8:S97,"Ready",$B$8:B97,B97)=1,1,0))))</x:f>
      </x:c>
      <x:c r="S97" s="44" t="str">
        <x:f>IF(A97="","",IF(COUNTIFS($A$8:$A$257,A97)&gt;1,"Duplicate ID",IF(OR(NOT(ISNUMBER(B97)),C97="",E97="",H97="",P97="",AND(OR(H97="First contact",H97="Reply",H97="Positive reply",H97="Permission confirmed"),D97=""),AND(OR(H97="First contact",H97="Permission confirmed"),OR(T97&lt;&gt;"Reviewed and confirmed",U97="",V97="")),AND(H97="Fit qualified",OR(J97&lt;&gt;"Qualified",K97="",M97="",N97="",NOT(ISNUMBER(O97)))),AND(H97="Route recommended",K97=""),AND(OR(H97="Objection",H97="No fit",H97="Lost"),L97="")),"Incomplete","Ready")))</x:f>
      </x:c>
      <x:c r="T97" s="42"/>
      <x:c r="U97" s="42"/>
      <x:c r="V97" s="42"/>
    </x:row>
    <x:row r="98" ht="23" customHeight="1">
      <x:c r="A98" s="42"/>
      <x:c r="B98" s="43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3"/>
      <x:c r="P98" s="42"/>
      <x:c r="Q98" s="44" t="str">
        <x:f>IF(A98="","",IF(OR(H98="First contact",H98="Reply",H98="Positive reply",H98="Permission confirmed"),"C|"&amp;D98&amp;"|"&amp;H98,"O|"&amp;C98&amp;"|"&amp;H98))</x:f>
      </x:c>
      <x:c r="R98" s="44" t="str">
        <x:f>IF(A98="","",IF(S98&lt;&gt;"Ready","Incomplete",IF(COUNTIFS($Q$8:$Q$257,Q98,$S$8:$S$257,"Ready",$B$8:$B$257,"&lt;"&amp;B98)&gt;0,0,IF(COUNTIFS($Q$8:Q98,Q98,$S$8:S98,"Ready",$B$8:B98,B98)=1,1,0))))</x:f>
      </x:c>
      <x:c r="S98" s="44" t="str">
        <x:f>IF(A98="","",IF(COUNTIFS($A$8:$A$257,A98)&gt;1,"Duplicate ID",IF(OR(NOT(ISNUMBER(B98)),C98="",E98="",H98="",P98="",AND(OR(H98="First contact",H98="Reply",H98="Positive reply",H98="Permission confirmed"),D98=""),AND(OR(H98="First contact",H98="Permission confirmed"),OR(T98&lt;&gt;"Reviewed and confirmed",U98="",V98="")),AND(H98="Fit qualified",OR(J98&lt;&gt;"Qualified",K98="",M98="",N98="",NOT(ISNUMBER(O98)))),AND(H98="Route recommended",K98=""),AND(OR(H98="Objection",H98="No fit",H98="Lost"),L98="")),"Incomplete","Ready")))</x:f>
      </x:c>
      <x:c r="T98" s="42"/>
      <x:c r="U98" s="42"/>
      <x:c r="V98" s="42"/>
    </x:row>
    <x:row r="99" ht="23" customHeight="1">
      <x:c r="A99" s="42"/>
      <x:c r="B99" s="43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3"/>
      <x:c r="P99" s="42"/>
      <x:c r="Q99" s="44" t="str">
        <x:f>IF(A99="","",IF(OR(H99="First contact",H99="Reply",H99="Positive reply",H99="Permission confirmed"),"C|"&amp;D99&amp;"|"&amp;H99,"O|"&amp;C99&amp;"|"&amp;H99))</x:f>
      </x:c>
      <x:c r="R99" s="44" t="str">
        <x:f>IF(A99="","",IF(S99&lt;&gt;"Ready","Incomplete",IF(COUNTIFS($Q$8:$Q$257,Q99,$S$8:$S$257,"Ready",$B$8:$B$257,"&lt;"&amp;B99)&gt;0,0,IF(COUNTIFS($Q$8:Q99,Q99,$S$8:S99,"Ready",$B$8:B99,B99)=1,1,0))))</x:f>
      </x:c>
      <x:c r="S99" s="44" t="str">
        <x:f>IF(A99="","",IF(COUNTIFS($A$8:$A$257,A99)&gt;1,"Duplicate ID",IF(OR(NOT(ISNUMBER(B99)),C99="",E99="",H99="",P99="",AND(OR(H99="First contact",H99="Reply",H99="Positive reply",H99="Permission confirmed"),D99=""),AND(OR(H99="First contact",H99="Permission confirmed"),OR(T99&lt;&gt;"Reviewed and confirmed",U99="",V99="")),AND(H99="Fit qualified",OR(J99&lt;&gt;"Qualified",K99="",M99="",N99="",NOT(ISNUMBER(O99)))),AND(H99="Route recommended",K99=""),AND(OR(H99="Objection",H99="No fit",H99="Lost"),L99="")),"Incomplete","Ready")))</x:f>
      </x:c>
      <x:c r="T99" s="42"/>
      <x:c r="U99" s="42"/>
      <x:c r="V99" s="42"/>
    </x:row>
    <x:row r="100" ht="23" customHeight="1">
      <x:c r="A100" s="42"/>
      <x:c r="B100" s="43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3"/>
      <x:c r="P100" s="42"/>
      <x:c r="Q100" s="44" t="str">
        <x:f>IF(A100="","",IF(OR(H100="First contact",H100="Reply",H100="Positive reply",H100="Permission confirmed"),"C|"&amp;D100&amp;"|"&amp;H100,"O|"&amp;C100&amp;"|"&amp;H100))</x:f>
      </x:c>
      <x:c r="R100" s="44" t="str">
        <x:f>IF(A100="","",IF(S100&lt;&gt;"Ready","Incomplete",IF(COUNTIFS($Q$8:$Q$257,Q100,$S$8:$S$257,"Ready",$B$8:$B$257,"&lt;"&amp;B100)&gt;0,0,IF(COUNTIFS($Q$8:Q100,Q100,$S$8:S100,"Ready",$B$8:B100,B100)=1,1,0))))</x:f>
      </x:c>
      <x:c r="S100" s="44" t="str">
        <x:f>IF(A100="","",IF(COUNTIFS($A$8:$A$257,A100)&gt;1,"Duplicate ID",IF(OR(NOT(ISNUMBER(B100)),C100="",E100="",H100="",P100="",AND(OR(H100="First contact",H100="Reply",H100="Positive reply",H100="Permission confirmed"),D100=""),AND(OR(H100="First contact",H100="Permission confirmed"),OR(T100&lt;&gt;"Reviewed and confirmed",U100="",V100="")),AND(H100="Fit qualified",OR(J100&lt;&gt;"Qualified",K100="",M100="",N100="",NOT(ISNUMBER(O100)))),AND(H100="Route recommended",K100=""),AND(OR(H100="Objection",H100="No fit",H100="Lost"),L100="")),"Incomplete","Ready")))</x:f>
      </x:c>
      <x:c r="T100" s="42"/>
      <x:c r="U100" s="42"/>
      <x:c r="V100" s="42"/>
    </x:row>
    <x:row r="101" ht="23" customHeight="1">
      <x:c r="A101" s="42"/>
      <x:c r="B101" s="43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3"/>
      <x:c r="P101" s="42"/>
      <x:c r="Q101" s="44" t="str">
        <x:f>IF(A101="","",IF(OR(H101="First contact",H101="Reply",H101="Positive reply",H101="Permission confirmed"),"C|"&amp;D101&amp;"|"&amp;H101,"O|"&amp;C101&amp;"|"&amp;H101))</x:f>
      </x:c>
      <x:c r="R101" s="44" t="str">
        <x:f>IF(A101="","",IF(S101&lt;&gt;"Ready","Incomplete",IF(COUNTIFS($Q$8:$Q$257,Q101,$S$8:$S$257,"Ready",$B$8:$B$257,"&lt;"&amp;B101)&gt;0,0,IF(COUNTIFS($Q$8:Q101,Q101,$S$8:S101,"Ready",$B$8:B101,B101)=1,1,0))))</x:f>
      </x:c>
      <x:c r="S101" s="44" t="str">
        <x:f>IF(A101="","",IF(COUNTIFS($A$8:$A$257,A101)&gt;1,"Duplicate ID",IF(OR(NOT(ISNUMBER(B101)),C101="",E101="",H101="",P101="",AND(OR(H101="First contact",H101="Reply",H101="Positive reply",H101="Permission confirmed"),D101=""),AND(OR(H101="First contact",H101="Permission confirmed"),OR(T101&lt;&gt;"Reviewed and confirmed",U101="",V101="")),AND(H101="Fit qualified",OR(J101&lt;&gt;"Qualified",K101="",M101="",N101="",NOT(ISNUMBER(O101)))),AND(H101="Route recommended",K101=""),AND(OR(H101="Objection",H101="No fit",H101="Lost"),L101="")),"Incomplete","Ready")))</x:f>
      </x:c>
      <x:c r="T101" s="42"/>
      <x:c r="U101" s="42"/>
      <x:c r="V101" s="42"/>
    </x:row>
    <x:row r="102" ht="23" customHeight="1">
      <x:c r="A102" s="42"/>
      <x:c r="B102" s="43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3"/>
      <x:c r="P102" s="42"/>
      <x:c r="Q102" s="44" t="str">
        <x:f>IF(A102="","",IF(OR(H102="First contact",H102="Reply",H102="Positive reply",H102="Permission confirmed"),"C|"&amp;D102&amp;"|"&amp;H102,"O|"&amp;C102&amp;"|"&amp;H102))</x:f>
      </x:c>
      <x:c r="R102" s="44" t="str">
        <x:f>IF(A102="","",IF(S102&lt;&gt;"Ready","Incomplete",IF(COUNTIFS($Q$8:$Q$257,Q102,$S$8:$S$257,"Ready",$B$8:$B$257,"&lt;"&amp;B102)&gt;0,0,IF(COUNTIFS($Q$8:Q102,Q102,$S$8:S102,"Ready",$B$8:B102,B102)=1,1,0))))</x:f>
      </x:c>
      <x:c r="S102" s="44" t="str">
        <x:f>IF(A102="","",IF(COUNTIFS($A$8:$A$257,A102)&gt;1,"Duplicate ID",IF(OR(NOT(ISNUMBER(B102)),C102="",E102="",H102="",P102="",AND(OR(H102="First contact",H102="Reply",H102="Positive reply",H102="Permission confirmed"),D102=""),AND(OR(H102="First contact",H102="Permission confirmed"),OR(T102&lt;&gt;"Reviewed and confirmed",U102="",V102="")),AND(H102="Fit qualified",OR(J102&lt;&gt;"Qualified",K102="",M102="",N102="",NOT(ISNUMBER(O102)))),AND(H102="Route recommended",K102=""),AND(OR(H102="Objection",H102="No fit",H102="Lost"),L102="")),"Incomplete","Ready")))</x:f>
      </x:c>
      <x:c r="T102" s="42"/>
      <x:c r="U102" s="42"/>
      <x:c r="V102" s="42"/>
    </x:row>
    <x:row r="103" ht="23" customHeight="1">
      <x:c r="A103" s="42"/>
      <x:c r="B103" s="43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3"/>
      <x:c r="P103" s="42"/>
      <x:c r="Q103" s="44" t="str">
        <x:f>IF(A103="","",IF(OR(H103="First contact",H103="Reply",H103="Positive reply",H103="Permission confirmed"),"C|"&amp;D103&amp;"|"&amp;H103,"O|"&amp;C103&amp;"|"&amp;H103))</x:f>
      </x:c>
      <x:c r="R103" s="44" t="str">
        <x:f>IF(A103="","",IF(S103&lt;&gt;"Ready","Incomplete",IF(COUNTIFS($Q$8:$Q$257,Q103,$S$8:$S$257,"Ready",$B$8:$B$257,"&lt;"&amp;B103)&gt;0,0,IF(COUNTIFS($Q$8:Q103,Q103,$S$8:S103,"Ready",$B$8:B103,B103)=1,1,0))))</x:f>
      </x:c>
      <x:c r="S103" s="44" t="str">
        <x:f>IF(A103="","",IF(COUNTIFS($A$8:$A$257,A103)&gt;1,"Duplicate ID",IF(OR(NOT(ISNUMBER(B103)),C103="",E103="",H103="",P103="",AND(OR(H103="First contact",H103="Reply",H103="Positive reply",H103="Permission confirmed"),D103=""),AND(OR(H103="First contact",H103="Permission confirmed"),OR(T103&lt;&gt;"Reviewed and confirmed",U103="",V103="")),AND(H103="Fit qualified",OR(J103&lt;&gt;"Qualified",K103="",M103="",N103="",NOT(ISNUMBER(O103)))),AND(H103="Route recommended",K103=""),AND(OR(H103="Objection",H103="No fit",H103="Lost"),L103="")),"Incomplete","Ready")))</x:f>
      </x:c>
      <x:c r="T103" s="42"/>
      <x:c r="U103" s="42"/>
      <x:c r="V103" s="42"/>
    </x:row>
    <x:row r="104" ht="23" customHeight="1">
      <x:c r="A104" s="42"/>
      <x:c r="B104" s="43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3"/>
      <x:c r="P104" s="42"/>
      <x:c r="Q104" s="44" t="str">
        <x:f>IF(A104="","",IF(OR(H104="First contact",H104="Reply",H104="Positive reply",H104="Permission confirmed"),"C|"&amp;D104&amp;"|"&amp;H104,"O|"&amp;C104&amp;"|"&amp;H104))</x:f>
      </x:c>
      <x:c r="R104" s="44" t="str">
        <x:f>IF(A104="","",IF(S104&lt;&gt;"Ready","Incomplete",IF(COUNTIFS($Q$8:$Q$257,Q104,$S$8:$S$257,"Ready",$B$8:$B$257,"&lt;"&amp;B104)&gt;0,0,IF(COUNTIFS($Q$8:Q104,Q104,$S$8:S104,"Ready",$B$8:B104,B104)=1,1,0))))</x:f>
      </x:c>
      <x:c r="S104" s="44" t="str">
        <x:f>IF(A104="","",IF(COUNTIFS($A$8:$A$257,A104)&gt;1,"Duplicate ID",IF(OR(NOT(ISNUMBER(B104)),C104="",E104="",H104="",P104="",AND(OR(H104="First contact",H104="Reply",H104="Positive reply",H104="Permission confirmed"),D104=""),AND(OR(H104="First contact",H104="Permission confirmed"),OR(T104&lt;&gt;"Reviewed and confirmed",U104="",V104="")),AND(H104="Fit qualified",OR(J104&lt;&gt;"Qualified",K104="",M104="",N104="",NOT(ISNUMBER(O104)))),AND(H104="Route recommended",K104=""),AND(OR(H104="Objection",H104="No fit",H104="Lost"),L104="")),"Incomplete","Ready")))</x:f>
      </x:c>
      <x:c r="T104" s="42"/>
      <x:c r="U104" s="42"/>
      <x:c r="V104" s="42"/>
    </x:row>
    <x:row r="105" ht="23" customHeight="1">
      <x:c r="A105" s="42"/>
      <x:c r="B105" s="43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3"/>
      <x:c r="P105" s="42"/>
      <x:c r="Q105" s="44" t="str">
        <x:f>IF(A105="","",IF(OR(H105="First contact",H105="Reply",H105="Positive reply",H105="Permission confirmed"),"C|"&amp;D105&amp;"|"&amp;H105,"O|"&amp;C105&amp;"|"&amp;H105))</x:f>
      </x:c>
      <x:c r="R105" s="44" t="str">
        <x:f>IF(A105="","",IF(S105&lt;&gt;"Ready","Incomplete",IF(COUNTIFS($Q$8:$Q$257,Q105,$S$8:$S$257,"Ready",$B$8:$B$257,"&lt;"&amp;B105)&gt;0,0,IF(COUNTIFS($Q$8:Q105,Q105,$S$8:S105,"Ready",$B$8:B105,B105)=1,1,0))))</x:f>
      </x:c>
      <x:c r="S105" s="44" t="str">
        <x:f>IF(A105="","",IF(COUNTIFS($A$8:$A$257,A105)&gt;1,"Duplicate ID",IF(OR(NOT(ISNUMBER(B105)),C105="",E105="",H105="",P105="",AND(OR(H105="First contact",H105="Reply",H105="Positive reply",H105="Permission confirmed"),D105=""),AND(OR(H105="First contact",H105="Permission confirmed"),OR(T105&lt;&gt;"Reviewed and confirmed",U105="",V105="")),AND(H105="Fit qualified",OR(J105&lt;&gt;"Qualified",K105="",M105="",N105="",NOT(ISNUMBER(O105)))),AND(H105="Route recommended",K105=""),AND(OR(H105="Objection",H105="No fit",H105="Lost"),L105="")),"Incomplete","Ready")))</x:f>
      </x:c>
      <x:c r="T105" s="42"/>
      <x:c r="U105" s="42"/>
      <x:c r="V105" s="42"/>
    </x:row>
    <x:row r="106" ht="23" customHeight="1">
      <x:c r="A106" s="42"/>
      <x:c r="B106" s="43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3"/>
      <x:c r="P106" s="42"/>
      <x:c r="Q106" s="44" t="str">
        <x:f>IF(A106="","",IF(OR(H106="First contact",H106="Reply",H106="Positive reply",H106="Permission confirmed"),"C|"&amp;D106&amp;"|"&amp;H106,"O|"&amp;C106&amp;"|"&amp;H106))</x:f>
      </x:c>
      <x:c r="R106" s="44" t="str">
        <x:f>IF(A106="","",IF(S106&lt;&gt;"Ready","Incomplete",IF(COUNTIFS($Q$8:$Q$257,Q106,$S$8:$S$257,"Ready",$B$8:$B$257,"&lt;"&amp;B106)&gt;0,0,IF(COUNTIFS($Q$8:Q106,Q106,$S$8:S106,"Ready",$B$8:B106,B106)=1,1,0))))</x:f>
      </x:c>
      <x:c r="S106" s="44" t="str">
        <x:f>IF(A106="","",IF(COUNTIFS($A$8:$A$257,A106)&gt;1,"Duplicate ID",IF(OR(NOT(ISNUMBER(B106)),C106="",E106="",H106="",P106="",AND(OR(H106="First contact",H106="Reply",H106="Positive reply",H106="Permission confirmed"),D106=""),AND(OR(H106="First contact",H106="Permission confirmed"),OR(T106&lt;&gt;"Reviewed and confirmed",U106="",V106="")),AND(H106="Fit qualified",OR(J106&lt;&gt;"Qualified",K106="",M106="",N106="",NOT(ISNUMBER(O106)))),AND(H106="Route recommended",K106=""),AND(OR(H106="Objection",H106="No fit",H106="Lost"),L106="")),"Incomplete","Ready")))</x:f>
      </x:c>
      <x:c r="T106" s="42"/>
      <x:c r="U106" s="42"/>
      <x:c r="V106" s="42"/>
    </x:row>
    <x:row r="107" ht="23" customHeight="1">
      <x:c r="A107" s="42"/>
      <x:c r="B107" s="43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3"/>
      <x:c r="P107" s="42"/>
      <x:c r="Q107" s="44" t="str">
        <x:f>IF(A107="","",IF(OR(H107="First contact",H107="Reply",H107="Positive reply",H107="Permission confirmed"),"C|"&amp;D107&amp;"|"&amp;H107,"O|"&amp;C107&amp;"|"&amp;H107))</x:f>
      </x:c>
      <x:c r="R107" s="44" t="str">
        <x:f>IF(A107="","",IF(S107&lt;&gt;"Ready","Incomplete",IF(COUNTIFS($Q$8:$Q$257,Q107,$S$8:$S$257,"Ready",$B$8:$B$257,"&lt;"&amp;B107)&gt;0,0,IF(COUNTIFS($Q$8:Q107,Q107,$S$8:S107,"Ready",$B$8:B107,B107)=1,1,0))))</x:f>
      </x:c>
      <x:c r="S107" s="44" t="str">
        <x:f>IF(A107="","",IF(COUNTIFS($A$8:$A$257,A107)&gt;1,"Duplicate ID",IF(OR(NOT(ISNUMBER(B107)),C107="",E107="",H107="",P107="",AND(OR(H107="First contact",H107="Reply",H107="Positive reply",H107="Permission confirmed"),D107=""),AND(OR(H107="First contact",H107="Permission confirmed"),OR(T107&lt;&gt;"Reviewed and confirmed",U107="",V107="")),AND(H107="Fit qualified",OR(J107&lt;&gt;"Qualified",K107="",M107="",N107="",NOT(ISNUMBER(O107)))),AND(H107="Route recommended",K107=""),AND(OR(H107="Objection",H107="No fit",H107="Lost"),L107="")),"Incomplete","Ready")))</x:f>
      </x:c>
      <x:c r="T107" s="42"/>
      <x:c r="U107" s="42"/>
      <x:c r="V107" s="42"/>
    </x:row>
    <x:row r="108" ht="23" customHeight="1">
      <x:c r="A108" s="42"/>
      <x:c r="B108" s="43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3"/>
      <x:c r="P108" s="42"/>
      <x:c r="Q108" s="44" t="str">
        <x:f>IF(A108="","",IF(OR(H108="First contact",H108="Reply",H108="Positive reply",H108="Permission confirmed"),"C|"&amp;D108&amp;"|"&amp;H108,"O|"&amp;C108&amp;"|"&amp;H108))</x:f>
      </x:c>
      <x:c r="R108" s="44" t="str">
        <x:f>IF(A108="","",IF(S108&lt;&gt;"Ready","Incomplete",IF(COUNTIFS($Q$8:$Q$257,Q108,$S$8:$S$257,"Ready",$B$8:$B$257,"&lt;"&amp;B108)&gt;0,0,IF(COUNTIFS($Q$8:Q108,Q108,$S$8:S108,"Ready",$B$8:B108,B108)=1,1,0))))</x:f>
      </x:c>
      <x:c r="S108" s="44" t="str">
        <x:f>IF(A108="","",IF(COUNTIFS($A$8:$A$257,A108)&gt;1,"Duplicate ID",IF(OR(NOT(ISNUMBER(B108)),C108="",E108="",H108="",P108="",AND(OR(H108="First contact",H108="Reply",H108="Positive reply",H108="Permission confirmed"),D108=""),AND(OR(H108="First contact",H108="Permission confirmed"),OR(T108&lt;&gt;"Reviewed and confirmed",U108="",V108="")),AND(H108="Fit qualified",OR(J108&lt;&gt;"Qualified",K108="",M108="",N108="",NOT(ISNUMBER(O108)))),AND(H108="Route recommended",K108=""),AND(OR(H108="Objection",H108="No fit",H108="Lost"),L108="")),"Incomplete","Ready")))</x:f>
      </x:c>
      <x:c r="T108" s="42"/>
      <x:c r="U108" s="42"/>
      <x:c r="V108" s="42"/>
    </x:row>
    <x:row r="109" ht="23" customHeight="1">
      <x:c r="A109" s="42"/>
      <x:c r="B109" s="43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3"/>
      <x:c r="P109" s="42"/>
      <x:c r="Q109" s="44" t="str">
        <x:f>IF(A109="","",IF(OR(H109="First contact",H109="Reply",H109="Positive reply",H109="Permission confirmed"),"C|"&amp;D109&amp;"|"&amp;H109,"O|"&amp;C109&amp;"|"&amp;H109))</x:f>
      </x:c>
      <x:c r="R109" s="44" t="str">
        <x:f>IF(A109="","",IF(S109&lt;&gt;"Ready","Incomplete",IF(COUNTIFS($Q$8:$Q$257,Q109,$S$8:$S$257,"Ready",$B$8:$B$257,"&lt;"&amp;B109)&gt;0,0,IF(COUNTIFS($Q$8:Q109,Q109,$S$8:S109,"Ready",$B$8:B109,B109)=1,1,0))))</x:f>
      </x:c>
      <x:c r="S109" s="44" t="str">
        <x:f>IF(A109="","",IF(COUNTIFS($A$8:$A$257,A109)&gt;1,"Duplicate ID",IF(OR(NOT(ISNUMBER(B109)),C109="",E109="",H109="",P109="",AND(OR(H109="First contact",H109="Reply",H109="Positive reply",H109="Permission confirmed"),D109=""),AND(OR(H109="First contact",H109="Permission confirmed"),OR(T109&lt;&gt;"Reviewed and confirmed",U109="",V109="")),AND(H109="Fit qualified",OR(J109&lt;&gt;"Qualified",K109="",M109="",N109="",NOT(ISNUMBER(O109)))),AND(H109="Route recommended",K109=""),AND(OR(H109="Objection",H109="No fit",H109="Lost"),L109="")),"Incomplete","Ready")))</x:f>
      </x:c>
      <x:c r="T109" s="42"/>
      <x:c r="U109" s="42"/>
      <x:c r="V109" s="42"/>
    </x:row>
    <x:row r="110" ht="23" customHeight="1">
      <x:c r="A110" s="42"/>
      <x:c r="B110" s="43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3"/>
      <x:c r="P110" s="42"/>
      <x:c r="Q110" s="44" t="str">
        <x:f>IF(A110="","",IF(OR(H110="First contact",H110="Reply",H110="Positive reply",H110="Permission confirmed"),"C|"&amp;D110&amp;"|"&amp;H110,"O|"&amp;C110&amp;"|"&amp;H110))</x:f>
      </x:c>
      <x:c r="R110" s="44" t="str">
        <x:f>IF(A110="","",IF(S110&lt;&gt;"Ready","Incomplete",IF(COUNTIFS($Q$8:$Q$257,Q110,$S$8:$S$257,"Ready",$B$8:$B$257,"&lt;"&amp;B110)&gt;0,0,IF(COUNTIFS($Q$8:Q110,Q110,$S$8:S110,"Ready",$B$8:B110,B110)=1,1,0))))</x:f>
      </x:c>
      <x:c r="S110" s="44" t="str">
        <x:f>IF(A110="","",IF(COUNTIFS($A$8:$A$257,A110)&gt;1,"Duplicate ID",IF(OR(NOT(ISNUMBER(B110)),C110="",E110="",H110="",P110="",AND(OR(H110="First contact",H110="Reply",H110="Positive reply",H110="Permission confirmed"),D110=""),AND(OR(H110="First contact",H110="Permission confirmed"),OR(T110&lt;&gt;"Reviewed and confirmed",U110="",V110="")),AND(H110="Fit qualified",OR(J110&lt;&gt;"Qualified",K110="",M110="",N110="",NOT(ISNUMBER(O110)))),AND(H110="Route recommended",K110=""),AND(OR(H110="Objection",H110="No fit",H110="Lost"),L110="")),"Incomplete","Ready")))</x:f>
      </x:c>
      <x:c r="T110" s="42"/>
      <x:c r="U110" s="42"/>
      <x:c r="V110" s="42"/>
    </x:row>
    <x:row r="111" ht="23" customHeight="1">
      <x:c r="A111" s="42"/>
      <x:c r="B111" s="43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3"/>
      <x:c r="P111" s="42"/>
      <x:c r="Q111" s="44" t="str">
        <x:f>IF(A111="","",IF(OR(H111="First contact",H111="Reply",H111="Positive reply",H111="Permission confirmed"),"C|"&amp;D111&amp;"|"&amp;H111,"O|"&amp;C111&amp;"|"&amp;H111))</x:f>
      </x:c>
      <x:c r="R111" s="44" t="str">
        <x:f>IF(A111="","",IF(S111&lt;&gt;"Ready","Incomplete",IF(COUNTIFS($Q$8:$Q$257,Q111,$S$8:$S$257,"Ready",$B$8:$B$257,"&lt;"&amp;B111)&gt;0,0,IF(COUNTIFS($Q$8:Q111,Q111,$S$8:S111,"Ready",$B$8:B111,B111)=1,1,0))))</x:f>
      </x:c>
      <x:c r="S111" s="44" t="str">
        <x:f>IF(A111="","",IF(COUNTIFS($A$8:$A$257,A111)&gt;1,"Duplicate ID",IF(OR(NOT(ISNUMBER(B111)),C111="",E111="",H111="",P111="",AND(OR(H111="First contact",H111="Reply",H111="Positive reply",H111="Permission confirmed"),D111=""),AND(OR(H111="First contact",H111="Permission confirmed"),OR(T111&lt;&gt;"Reviewed and confirmed",U111="",V111="")),AND(H111="Fit qualified",OR(J111&lt;&gt;"Qualified",K111="",M111="",N111="",NOT(ISNUMBER(O111)))),AND(H111="Route recommended",K111=""),AND(OR(H111="Objection",H111="No fit",H111="Lost"),L111="")),"Incomplete","Ready")))</x:f>
      </x:c>
      <x:c r="T111" s="42"/>
      <x:c r="U111" s="42"/>
      <x:c r="V111" s="42"/>
    </x:row>
    <x:row r="112" ht="23" customHeight="1">
      <x:c r="A112" s="42"/>
      <x:c r="B112" s="43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3"/>
      <x:c r="P112" s="42"/>
      <x:c r="Q112" s="44" t="str">
        <x:f>IF(A112="","",IF(OR(H112="First contact",H112="Reply",H112="Positive reply",H112="Permission confirmed"),"C|"&amp;D112&amp;"|"&amp;H112,"O|"&amp;C112&amp;"|"&amp;H112))</x:f>
      </x:c>
      <x:c r="R112" s="44" t="str">
        <x:f>IF(A112="","",IF(S112&lt;&gt;"Ready","Incomplete",IF(COUNTIFS($Q$8:$Q$257,Q112,$S$8:$S$257,"Ready",$B$8:$B$257,"&lt;"&amp;B112)&gt;0,0,IF(COUNTIFS($Q$8:Q112,Q112,$S$8:S112,"Ready",$B$8:B112,B112)=1,1,0))))</x:f>
      </x:c>
      <x:c r="S112" s="44" t="str">
        <x:f>IF(A112="","",IF(COUNTIFS($A$8:$A$257,A112)&gt;1,"Duplicate ID",IF(OR(NOT(ISNUMBER(B112)),C112="",E112="",H112="",P112="",AND(OR(H112="First contact",H112="Reply",H112="Positive reply",H112="Permission confirmed"),D112=""),AND(OR(H112="First contact",H112="Permission confirmed"),OR(T112&lt;&gt;"Reviewed and confirmed",U112="",V112="")),AND(H112="Fit qualified",OR(J112&lt;&gt;"Qualified",K112="",M112="",N112="",NOT(ISNUMBER(O112)))),AND(H112="Route recommended",K112=""),AND(OR(H112="Objection",H112="No fit",H112="Lost"),L112="")),"Incomplete","Ready")))</x:f>
      </x:c>
      <x:c r="T112" s="42"/>
      <x:c r="U112" s="42"/>
      <x:c r="V112" s="42"/>
    </x:row>
    <x:row r="113" ht="23" customHeight="1">
      <x:c r="A113" s="42"/>
      <x:c r="B113" s="43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3"/>
      <x:c r="P113" s="42"/>
      <x:c r="Q113" s="44" t="str">
        <x:f>IF(A113="","",IF(OR(H113="First contact",H113="Reply",H113="Positive reply",H113="Permission confirmed"),"C|"&amp;D113&amp;"|"&amp;H113,"O|"&amp;C113&amp;"|"&amp;H113))</x:f>
      </x:c>
      <x:c r="R113" s="44" t="str">
        <x:f>IF(A113="","",IF(S113&lt;&gt;"Ready","Incomplete",IF(COUNTIFS($Q$8:$Q$257,Q113,$S$8:$S$257,"Ready",$B$8:$B$257,"&lt;"&amp;B113)&gt;0,0,IF(COUNTIFS($Q$8:Q113,Q113,$S$8:S113,"Ready",$B$8:B113,B113)=1,1,0))))</x:f>
      </x:c>
      <x:c r="S113" s="44" t="str">
        <x:f>IF(A113="","",IF(COUNTIFS($A$8:$A$257,A113)&gt;1,"Duplicate ID",IF(OR(NOT(ISNUMBER(B113)),C113="",E113="",H113="",P113="",AND(OR(H113="First contact",H113="Reply",H113="Positive reply",H113="Permission confirmed"),D113=""),AND(OR(H113="First contact",H113="Permission confirmed"),OR(T113&lt;&gt;"Reviewed and confirmed",U113="",V113="")),AND(H113="Fit qualified",OR(J113&lt;&gt;"Qualified",K113="",M113="",N113="",NOT(ISNUMBER(O113)))),AND(H113="Route recommended",K113=""),AND(OR(H113="Objection",H113="No fit",H113="Lost"),L113="")),"Incomplete","Ready")))</x:f>
      </x:c>
      <x:c r="T113" s="42"/>
      <x:c r="U113" s="42"/>
      <x:c r="V113" s="42"/>
    </x:row>
    <x:row r="114" ht="23" customHeight="1">
      <x:c r="A114" s="42"/>
      <x:c r="B114" s="43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3"/>
      <x:c r="P114" s="42"/>
      <x:c r="Q114" s="44" t="str">
        <x:f>IF(A114="","",IF(OR(H114="First contact",H114="Reply",H114="Positive reply",H114="Permission confirmed"),"C|"&amp;D114&amp;"|"&amp;H114,"O|"&amp;C114&amp;"|"&amp;H114))</x:f>
      </x:c>
      <x:c r="R114" s="44" t="str">
        <x:f>IF(A114="","",IF(S114&lt;&gt;"Ready","Incomplete",IF(COUNTIFS($Q$8:$Q$257,Q114,$S$8:$S$257,"Ready",$B$8:$B$257,"&lt;"&amp;B114)&gt;0,0,IF(COUNTIFS($Q$8:Q114,Q114,$S$8:S114,"Ready",$B$8:B114,B114)=1,1,0))))</x:f>
      </x:c>
      <x:c r="S114" s="44" t="str">
        <x:f>IF(A114="","",IF(COUNTIFS($A$8:$A$257,A114)&gt;1,"Duplicate ID",IF(OR(NOT(ISNUMBER(B114)),C114="",E114="",H114="",P114="",AND(OR(H114="First contact",H114="Reply",H114="Positive reply",H114="Permission confirmed"),D114=""),AND(OR(H114="First contact",H114="Permission confirmed"),OR(T114&lt;&gt;"Reviewed and confirmed",U114="",V114="")),AND(H114="Fit qualified",OR(J114&lt;&gt;"Qualified",K114="",M114="",N114="",NOT(ISNUMBER(O114)))),AND(H114="Route recommended",K114=""),AND(OR(H114="Objection",H114="No fit",H114="Lost"),L114="")),"Incomplete","Ready")))</x:f>
      </x:c>
      <x:c r="T114" s="42"/>
      <x:c r="U114" s="42"/>
      <x:c r="V114" s="42"/>
    </x:row>
    <x:row r="115" ht="23" customHeight="1">
      <x:c r="A115" s="42"/>
      <x:c r="B115" s="43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3"/>
      <x:c r="P115" s="42"/>
      <x:c r="Q115" s="44" t="str">
        <x:f>IF(A115="","",IF(OR(H115="First contact",H115="Reply",H115="Positive reply",H115="Permission confirmed"),"C|"&amp;D115&amp;"|"&amp;H115,"O|"&amp;C115&amp;"|"&amp;H115))</x:f>
      </x:c>
      <x:c r="R115" s="44" t="str">
        <x:f>IF(A115="","",IF(S115&lt;&gt;"Ready","Incomplete",IF(COUNTIFS($Q$8:$Q$257,Q115,$S$8:$S$257,"Ready",$B$8:$B$257,"&lt;"&amp;B115)&gt;0,0,IF(COUNTIFS($Q$8:Q115,Q115,$S$8:S115,"Ready",$B$8:B115,B115)=1,1,0))))</x:f>
      </x:c>
      <x:c r="S115" s="44" t="str">
        <x:f>IF(A115="","",IF(COUNTIFS($A$8:$A$257,A115)&gt;1,"Duplicate ID",IF(OR(NOT(ISNUMBER(B115)),C115="",E115="",H115="",P115="",AND(OR(H115="First contact",H115="Reply",H115="Positive reply",H115="Permission confirmed"),D115=""),AND(OR(H115="First contact",H115="Permission confirmed"),OR(T115&lt;&gt;"Reviewed and confirmed",U115="",V115="")),AND(H115="Fit qualified",OR(J115&lt;&gt;"Qualified",K115="",M115="",N115="",NOT(ISNUMBER(O115)))),AND(H115="Route recommended",K115=""),AND(OR(H115="Objection",H115="No fit",H115="Lost"),L115="")),"Incomplete","Ready")))</x:f>
      </x:c>
      <x:c r="T115" s="42"/>
      <x:c r="U115" s="42"/>
      <x:c r="V115" s="42"/>
    </x:row>
    <x:row r="116" ht="23" customHeight="1">
      <x:c r="A116" s="42"/>
      <x:c r="B116" s="43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3"/>
      <x:c r="P116" s="42"/>
      <x:c r="Q116" s="44" t="str">
        <x:f>IF(A116="","",IF(OR(H116="First contact",H116="Reply",H116="Positive reply",H116="Permission confirmed"),"C|"&amp;D116&amp;"|"&amp;H116,"O|"&amp;C116&amp;"|"&amp;H116))</x:f>
      </x:c>
      <x:c r="R116" s="44" t="str">
        <x:f>IF(A116="","",IF(S116&lt;&gt;"Ready","Incomplete",IF(COUNTIFS($Q$8:$Q$257,Q116,$S$8:$S$257,"Ready",$B$8:$B$257,"&lt;"&amp;B116)&gt;0,0,IF(COUNTIFS($Q$8:Q116,Q116,$S$8:S116,"Ready",$B$8:B116,B116)=1,1,0))))</x:f>
      </x:c>
      <x:c r="S116" s="44" t="str">
        <x:f>IF(A116="","",IF(COUNTIFS($A$8:$A$257,A116)&gt;1,"Duplicate ID",IF(OR(NOT(ISNUMBER(B116)),C116="",E116="",H116="",P116="",AND(OR(H116="First contact",H116="Reply",H116="Positive reply",H116="Permission confirmed"),D116=""),AND(OR(H116="First contact",H116="Permission confirmed"),OR(T116&lt;&gt;"Reviewed and confirmed",U116="",V116="")),AND(H116="Fit qualified",OR(J116&lt;&gt;"Qualified",K116="",M116="",N116="",NOT(ISNUMBER(O116)))),AND(H116="Route recommended",K116=""),AND(OR(H116="Objection",H116="No fit",H116="Lost"),L116="")),"Incomplete","Ready")))</x:f>
      </x:c>
      <x:c r="T116" s="42"/>
      <x:c r="U116" s="42"/>
      <x:c r="V116" s="42"/>
    </x:row>
    <x:row r="117" ht="23" customHeight="1">
      <x:c r="A117" s="42"/>
      <x:c r="B117" s="43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3"/>
      <x:c r="P117" s="42"/>
      <x:c r="Q117" s="44" t="str">
        <x:f>IF(A117="","",IF(OR(H117="First contact",H117="Reply",H117="Positive reply",H117="Permission confirmed"),"C|"&amp;D117&amp;"|"&amp;H117,"O|"&amp;C117&amp;"|"&amp;H117))</x:f>
      </x:c>
      <x:c r="R117" s="44" t="str">
        <x:f>IF(A117="","",IF(S117&lt;&gt;"Ready","Incomplete",IF(COUNTIFS($Q$8:$Q$257,Q117,$S$8:$S$257,"Ready",$B$8:$B$257,"&lt;"&amp;B117)&gt;0,0,IF(COUNTIFS($Q$8:Q117,Q117,$S$8:S117,"Ready",$B$8:B117,B117)=1,1,0))))</x:f>
      </x:c>
      <x:c r="S117" s="44" t="str">
        <x:f>IF(A117="","",IF(COUNTIFS($A$8:$A$257,A117)&gt;1,"Duplicate ID",IF(OR(NOT(ISNUMBER(B117)),C117="",E117="",H117="",P117="",AND(OR(H117="First contact",H117="Reply",H117="Positive reply",H117="Permission confirmed"),D117=""),AND(OR(H117="First contact",H117="Permission confirmed"),OR(T117&lt;&gt;"Reviewed and confirmed",U117="",V117="")),AND(H117="Fit qualified",OR(J117&lt;&gt;"Qualified",K117="",M117="",N117="",NOT(ISNUMBER(O117)))),AND(H117="Route recommended",K117=""),AND(OR(H117="Objection",H117="No fit",H117="Lost"),L117="")),"Incomplete","Ready")))</x:f>
      </x:c>
      <x:c r="T117" s="42"/>
      <x:c r="U117" s="42"/>
      <x:c r="V117" s="42"/>
    </x:row>
    <x:row r="118" ht="23" customHeight="1">
      <x:c r="A118" s="42"/>
      <x:c r="B118" s="43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3"/>
      <x:c r="P118" s="42"/>
      <x:c r="Q118" s="44" t="str">
        <x:f>IF(A118="","",IF(OR(H118="First contact",H118="Reply",H118="Positive reply",H118="Permission confirmed"),"C|"&amp;D118&amp;"|"&amp;H118,"O|"&amp;C118&amp;"|"&amp;H118))</x:f>
      </x:c>
      <x:c r="R118" s="44" t="str">
        <x:f>IF(A118="","",IF(S118&lt;&gt;"Ready","Incomplete",IF(COUNTIFS($Q$8:$Q$257,Q118,$S$8:$S$257,"Ready",$B$8:$B$257,"&lt;"&amp;B118)&gt;0,0,IF(COUNTIFS($Q$8:Q118,Q118,$S$8:S118,"Ready",$B$8:B118,B118)=1,1,0))))</x:f>
      </x:c>
      <x:c r="S118" s="44" t="str">
        <x:f>IF(A118="","",IF(COUNTIFS($A$8:$A$257,A118)&gt;1,"Duplicate ID",IF(OR(NOT(ISNUMBER(B118)),C118="",E118="",H118="",P118="",AND(OR(H118="First contact",H118="Reply",H118="Positive reply",H118="Permission confirmed"),D118=""),AND(OR(H118="First contact",H118="Permission confirmed"),OR(T118&lt;&gt;"Reviewed and confirmed",U118="",V118="")),AND(H118="Fit qualified",OR(J118&lt;&gt;"Qualified",K118="",M118="",N118="",NOT(ISNUMBER(O118)))),AND(H118="Route recommended",K118=""),AND(OR(H118="Objection",H118="No fit",H118="Lost"),L118="")),"Incomplete","Ready")))</x:f>
      </x:c>
      <x:c r="T118" s="42"/>
      <x:c r="U118" s="42"/>
      <x:c r="V118" s="42"/>
    </x:row>
    <x:row r="119" ht="23" customHeight="1">
      <x:c r="A119" s="42"/>
      <x:c r="B119" s="43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3"/>
      <x:c r="P119" s="42"/>
      <x:c r="Q119" s="44" t="str">
        <x:f>IF(A119="","",IF(OR(H119="First contact",H119="Reply",H119="Positive reply",H119="Permission confirmed"),"C|"&amp;D119&amp;"|"&amp;H119,"O|"&amp;C119&amp;"|"&amp;H119))</x:f>
      </x:c>
      <x:c r="R119" s="44" t="str">
        <x:f>IF(A119="","",IF(S119&lt;&gt;"Ready","Incomplete",IF(COUNTIFS($Q$8:$Q$257,Q119,$S$8:$S$257,"Ready",$B$8:$B$257,"&lt;"&amp;B119)&gt;0,0,IF(COUNTIFS($Q$8:Q119,Q119,$S$8:S119,"Ready",$B$8:B119,B119)=1,1,0))))</x:f>
      </x:c>
      <x:c r="S119" s="44" t="str">
        <x:f>IF(A119="","",IF(COUNTIFS($A$8:$A$257,A119)&gt;1,"Duplicate ID",IF(OR(NOT(ISNUMBER(B119)),C119="",E119="",H119="",P119="",AND(OR(H119="First contact",H119="Reply",H119="Positive reply",H119="Permission confirmed"),D119=""),AND(OR(H119="First contact",H119="Permission confirmed"),OR(T119&lt;&gt;"Reviewed and confirmed",U119="",V119="")),AND(H119="Fit qualified",OR(J119&lt;&gt;"Qualified",K119="",M119="",N119="",NOT(ISNUMBER(O119)))),AND(H119="Route recommended",K119=""),AND(OR(H119="Objection",H119="No fit",H119="Lost"),L119="")),"Incomplete","Ready")))</x:f>
      </x:c>
      <x:c r="T119" s="42"/>
      <x:c r="U119" s="42"/>
      <x:c r="V119" s="42"/>
    </x:row>
    <x:row r="120" ht="23" customHeight="1">
      <x:c r="A120" s="42"/>
      <x:c r="B120" s="43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3"/>
      <x:c r="P120" s="42"/>
      <x:c r="Q120" s="44" t="str">
        <x:f>IF(A120="","",IF(OR(H120="First contact",H120="Reply",H120="Positive reply",H120="Permission confirmed"),"C|"&amp;D120&amp;"|"&amp;H120,"O|"&amp;C120&amp;"|"&amp;H120))</x:f>
      </x:c>
      <x:c r="R120" s="44" t="str">
        <x:f>IF(A120="","",IF(S120&lt;&gt;"Ready","Incomplete",IF(COUNTIFS($Q$8:$Q$257,Q120,$S$8:$S$257,"Ready",$B$8:$B$257,"&lt;"&amp;B120)&gt;0,0,IF(COUNTIFS($Q$8:Q120,Q120,$S$8:S120,"Ready",$B$8:B120,B120)=1,1,0))))</x:f>
      </x:c>
      <x:c r="S120" s="44" t="str">
        <x:f>IF(A120="","",IF(COUNTIFS($A$8:$A$257,A120)&gt;1,"Duplicate ID",IF(OR(NOT(ISNUMBER(B120)),C120="",E120="",H120="",P120="",AND(OR(H120="First contact",H120="Reply",H120="Positive reply",H120="Permission confirmed"),D120=""),AND(OR(H120="First contact",H120="Permission confirmed"),OR(T120&lt;&gt;"Reviewed and confirmed",U120="",V120="")),AND(H120="Fit qualified",OR(J120&lt;&gt;"Qualified",K120="",M120="",N120="",NOT(ISNUMBER(O120)))),AND(H120="Route recommended",K120=""),AND(OR(H120="Objection",H120="No fit",H120="Lost"),L120="")),"Incomplete","Ready")))</x:f>
      </x:c>
      <x:c r="T120" s="42"/>
      <x:c r="U120" s="42"/>
      <x:c r="V120" s="42"/>
    </x:row>
    <x:row r="121" ht="23" customHeight="1">
      <x:c r="A121" s="42"/>
      <x:c r="B121" s="43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3"/>
      <x:c r="P121" s="42"/>
      <x:c r="Q121" s="44" t="str">
        <x:f>IF(A121="","",IF(OR(H121="First contact",H121="Reply",H121="Positive reply",H121="Permission confirmed"),"C|"&amp;D121&amp;"|"&amp;H121,"O|"&amp;C121&amp;"|"&amp;H121))</x:f>
      </x:c>
      <x:c r="R121" s="44" t="str">
        <x:f>IF(A121="","",IF(S121&lt;&gt;"Ready","Incomplete",IF(COUNTIFS($Q$8:$Q$257,Q121,$S$8:$S$257,"Ready",$B$8:$B$257,"&lt;"&amp;B121)&gt;0,0,IF(COUNTIFS($Q$8:Q121,Q121,$S$8:S121,"Ready",$B$8:B121,B121)=1,1,0))))</x:f>
      </x:c>
      <x:c r="S121" s="44" t="str">
        <x:f>IF(A121="","",IF(COUNTIFS($A$8:$A$257,A121)&gt;1,"Duplicate ID",IF(OR(NOT(ISNUMBER(B121)),C121="",E121="",H121="",P121="",AND(OR(H121="First contact",H121="Reply",H121="Positive reply",H121="Permission confirmed"),D121=""),AND(OR(H121="First contact",H121="Permission confirmed"),OR(T121&lt;&gt;"Reviewed and confirmed",U121="",V121="")),AND(H121="Fit qualified",OR(J121&lt;&gt;"Qualified",K121="",M121="",N121="",NOT(ISNUMBER(O121)))),AND(H121="Route recommended",K121=""),AND(OR(H121="Objection",H121="No fit",H121="Lost"),L121="")),"Incomplete","Ready")))</x:f>
      </x:c>
      <x:c r="T121" s="42"/>
      <x:c r="U121" s="42"/>
      <x:c r="V121" s="42"/>
    </x:row>
    <x:row r="122" ht="23" customHeight="1">
      <x:c r="A122" s="42"/>
      <x:c r="B122" s="43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3"/>
      <x:c r="P122" s="42"/>
      <x:c r="Q122" s="44" t="str">
        <x:f>IF(A122="","",IF(OR(H122="First contact",H122="Reply",H122="Positive reply",H122="Permission confirmed"),"C|"&amp;D122&amp;"|"&amp;H122,"O|"&amp;C122&amp;"|"&amp;H122))</x:f>
      </x:c>
      <x:c r="R122" s="44" t="str">
        <x:f>IF(A122="","",IF(S122&lt;&gt;"Ready","Incomplete",IF(COUNTIFS($Q$8:$Q$257,Q122,$S$8:$S$257,"Ready",$B$8:$B$257,"&lt;"&amp;B122)&gt;0,0,IF(COUNTIFS($Q$8:Q122,Q122,$S$8:S122,"Ready",$B$8:B122,B122)=1,1,0))))</x:f>
      </x:c>
      <x:c r="S122" s="44" t="str">
        <x:f>IF(A122="","",IF(COUNTIFS($A$8:$A$257,A122)&gt;1,"Duplicate ID",IF(OR(NOT(ISNUMBER(B122)),C122="",E122="",H122="",P122="",AND(OR(H122="First contact",H122="Reply",H122="Positive reply",H122="Permission confirmed"),D122=""),AND(OR(H122="First contact",H122="Permission confirmed"),OR(T122&lt;&gt;"Reviewed and confirmed",U122="",V122="")),AND(H122="Fit qualified",OR(J122&lt;&gt;"Qualified",K122="",M122="",N122="",NOT(ISNUMBER(O122)))),AND(H122="Route recommended",K122=""),AND(OR(H122="Objection",H122="No fit",H122="Lost"),L122="")),"Incomplete","Ready")))</x:f>
      </x:c>
      <x:c r="T122" s="42"/>
      <x:c r="U122" s="42"/>
      <x:c r="V122" s="42"/>
    </x:row>
    <x:row r="123" ht="23" customHeight="1">
      <x:c r="A123" s="42"/>
      <x:c r="B123" s="43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3"/>
      <x:c r="P123" s="42"/>
      <x:c r="Q123" s="44" t="str">
        <x:f>IF(A123="","",IF(OR(H123="First contact",H123="Reply",H123="Positive reply",H123="Permission confirmed"),"C|"&amp;D123&amp;"|"&amp;H123,"O|"&amp;C123&amp;"|"&amp;H123))</x:f>
      </x:c>
      <x:c r="R123" s="44" t="str">
        <x:f>IF(A123="","",IF(S123&lt;&gt;"Ready","Incomplete",IF(COUNTIFS($Q$8:$Q$257,Q123,$S$8:$S$257,"Ready",$B$8:$B$257,"&lt;"&amp;B123)&gt;0,0,IF(COUNTIFS($Q$8:Q123,Q123,$S$8:S123,"Ready",$B$8:B123,B123)=1,1,0))))</x:f>
      </x:c>
      <x:c r="S123" s="44" t="str">
        <x:f>IF(A123="","",IF(COUNTIFS($A$8:$A$257,A123)&gt;1,"Duplicate ID",IF(OR(NOT(ISNUMBER(B123)),C123="",E123="",H123="",P123="",AND(OR(H123="First contact",H123="Reply",H123="Positive reply",H123="Permission confirmed"),D123=""),AND(OR(H123="First contact",H123="Permission confirmed"),OR(T123&lt;&gt;"Reviewed and confirmed",U123="",V123="")),AND(H123="Fit qualified",OR(J123&lt;&gt;"Qualified",K123="",M123="",N123="",NOT(ISNUMBER(O123)))),AND(H123="Route recommended",K123=""),AND(OR(H123="Objection",H123="No fit",H123="Lost"),L123="")),"Incomplete","Ready")))</x:f>
      </x:c>
      <x:c r="T123" s="42"/>
      <x:c r="U123" s="42"/>
      <x:c r="V123" s="42"/>
    </x:row>
    <x:row r="124" ht="23" customHeight="1">
      <x:c r="A124" s="42"/>
      <x:c r="B124" s="43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3"/>
      <x:c r="P124" s="42"/>
      <x:c r="Q124" s="44" t="str">
        <x:f>IF(A124="","",IF(OR(H124="First contact",H124="Reply",H124="Positive reply",H124="Permission confirmed"),"C|"&amp;D124&amp;"|"&amp;H124,"O|"&amp;C124&amp;"|"&amp;H124))</x:f>
      </x:c>
      <x:c r="R124" s="44" t="str">
        <x:f>IF(A124="","",IF(S124&lt;&gt;"Ready","Incomplete",IF(COUNTIFS($Q$8:$Q$257,Q124,$S$8:$S$257,"Ready",$B$8:$B$257,"&lt;"&amp;B124)&gt;0,0,IF(COUNTIFS($Q$8:Q124,Q124,$S$8:S124,"Ready",$B$8:B124,B124)=1,1,0))))</x:f>
      </x:c>
      <x:c r="S124" s="44" t="str">
        <x:f>IF(A124="","",IF(COUNTIFS($A$8:$A$257,A124)&gt;1,"Duplicate ID",IF(OR(NOT(ISNUMBER(B124)),C124="",E124="",H124="",P124="",AND(OR(H124="First contact",H124="Reply",H124="Positive reply",H124="Permission confirmed"),D124=""),AND(OR(H124="First contact",H124="Permission confirmed"),OR(T124&lt;&gt;"Reviewed and confirmed",U124="",V124="")),AND(H124="Fit qualified",OR(J124&lt;&gt;"Qualified",K124="",M124="",N124="",NOT(ISNUMBER(O124)))),AND(H124="Route recommended",K124=""),AND(OR(H124="Objection",H124="No fit",H124="Lost"),L124="")),"Incomplete","Ready")))</x:f>
      </x:c>
      <x:c r="T124" s="42"/>
      <x:c r="U124" s="42"/>
      <x:c r="V124" s="42"/>
    </x:row>
    <x:row r="125" ht="23" customHeight="1">
      <x:c r="A125" s="42"/>
      <x:c r="B125" s="43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3"/>
      <x:c r="P125" s="42"/>
      <x:c r="Q125" s="44" t="str">
        <x:f>IF(A125="","",IF(OR(H125="First contact",H125="Reply",H125="Positive reply",H125="Permission confirmed"),"C|"&amp;D125&amp;"|"&amp;H125,"O|"&amp;C125&amp;"|"&amp;H125))</x:f>
      </x:c>
      <x:c r="R125" s="44" t="str">
        <x:f>IF(A125="","",IF(S125&lt;&gt;"Ready","Incomplete",IF(COUNTIFS($Q$8:$Q$257,Q125,$S$8:$S$257,"Ready",$B$8:$B$257,"&lt;"&amp;B125)&gt;0,0,IF(COUNTIFS($Q$8:Q125,Q125,$S$8:S125,"Ready",$B$8:B125,B125)=1,1,0))))</x:f>
      </x:c>
      <x:c r="S125" s="44" t="str">
        <x:f>IF(A125="","",IF(COUNTIFS($A$8:$A$257,A125)&gt;1,"Duplicate ID",IF(OR(NOT(ISNUMBER(B125)),C125="",E125="",H125="",P125="",AND(OR(H125="First contact",H125="Reply",H125="Positive reply",H125="Permission confirmed"),D125=""),AND(OR(H125="First contact",H125="Permission confirmed"),OR(T125&lt;&gt;"Reviewed and confirmed",U125="",V125="")),AND(H125="Fit qualified",OR(J125&lt;&gt;"Qualified",K125="",M125="",N125="",NOT(ISNUMBER(O125)))),AND(H125="Route recommended",K125=""),AND(OR(H125="Objection",H125="No fit",H125="Lost"),L125="")),"Incomplete","Ready")))</x:f>
      </x:c>
      <x:c r="T125" s="42"/>
      <x:c r="U125" s="42"/>
      <x:c r="V125" s="42"/>
    </x:row>
    <x:row r="126" ht="23" customHeight="1">
      <x:c r="A126" s="42"/>
      <x:c r="B126" s="43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3"/>
      <x:c r="P126" s="42"/>
      <x:c r="Q126" s="44" t="str">
        <x:f>IF(A126="","",IF(OR(H126="First contact",H126="Reply",H126="Positive reply",H126="Permission confirmed"),"C|"&amp;D126&amp;"|"&amp;H126,"O|"&amp;C126&amp;"|"&amp;H126))</x:f>
      </x:c>
      <x:c r="R126" s="44" t="str">
        <x:f>IF(A126="","",IF(S126&lt;&gt;"Ready","Incomplete",IF(COUNTIFS($Q$8:$Q$257,Q126,$S$8:$S$257,"Ready",$B$8:$B$257,"&lt;"&amp;B126)&gt;0,0,IF(COUNTIFS($Q$8:Q126,Q126,$S$8:S126,"Ready",$B$8:B126,B126)=1,1,0))))</x:f>
      </x:c>
      <x:c r="S126" s="44" t="str">
        <x:f>IF(A126="","",IF(COUNTIFS($A$8:$A$257,A126)&gt;1,"Duplicate ID",IF(OR(NOT(ISNUMBER(B126)),C126="",E126="",H126="",P126="",AND(OR(H126="First contact",H126="Reply",H126="Positive reply",H126="Permission confirmed"),D126=""),AND(OR(H126="First contact",H126="Permission confirmed"),OR(T126&lt;&gt;"Reviewed and confirmed",U126="",V126="")),AND(H126="Fit qualified",OR(J126&lt;&gt;"Qualified",K126="",M126="",N126="",NOT(ISNUMBER(O126)))),AND(H126="Route recommended",K126=""),AND(OR(H126="Objection",H126="No fit",H126="Lost"),L126="")),"Incomplete","Ready")))</x:f>
      </x:c>
      <x:c r="T126" s="42"/>
      <x:c r="U126" s="42"/>
      <x:c r="V126" s="42"/>
    </x:row>
    <x:row r="127" ht="23" customHeight="1">
      <x:c r="A127" s="42"/>
      <x:c r="B127" s="43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3"/>
      <x:c r="P127" s="42"/>
      <x:c r="Q127" s="44" t="str">
        <x:f>IF(A127="","",IF(OR(H127="First contact",H127="Reply",H127="Positive reply",H127="Permission confirmed"),"C|"&amp;D127&amp;"|"&amp;H127,"O|"&amp;C127&amp;"|"&amp;H127))</x:f>
      </x:c>
      <x:c r="R127" s="44" t="str">
        <x:f>IF(A127="","",IF(S127&lt;&gt;"Ready","Incomplete",IF(COUNTIFS($Q$8:$Q$257,Q127,$S$8:$S$257,"Ready",$B$8:$B$257,"&lt;"&amp;B127)&gt;0,0,IF(COUNTIFS($Q$8:Q127,Q127,$S$8:S127,"Ready",$B$8:B127,B127)=1,1,0))))</x:f>
      </x:c>
      <x:c r="S127" s="44" t="str">
        <x:f>IF(A127="","",IF(COUNTIFS($A$8:$A$257,A127)&gt;1,"Duplicate ID",IF(OR(NOT(ISNUMBER(B127)),C127="",E127="",H127="",P127="",AND(OR(H127="First contact",H127="Reply",H127="Positive reply",H127="Permission confirmed"),D127=""),AND(OR(H127="First contact",H127="Permission confirmed"),OR(T127&lt;&gt;"Reviewed and confirmed",U127="",V127="")),AND(H127="Fit qualified",OR(J127&lt;&gt;"Qualified",K127="",M127="",N127="",NOT(ISNUMBER(O127)))),AND(H127="Route recommended",K127=""),AND(OR(H127="Objection",H127="No fit",H127="Lost"),L127="")),"Incomplete","Ready")))</x:f>
      </x:c>
      <x:c r="T127" s="42"/>
      <x:c r="U127" s="42"/>
      <x:c r="V127" s="42"/>
    </x:row>
    <x:row r="128" ht="23" customHeight="1">
      <x:c r="A128" s="42"/>
      <x:c r="B128" s="43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3"/>
      <x:c r="P128" s="42"/>
      <x:c r="Q128" s="44" t="str">
        <x:f>IF(A128="","",IF(OR(H128="First contact",H128="Reply",H128="Positive reply",H128="Permission confirmed"),"C|"&amp;D128&amp;"|"&amp;H128,"O|"&amp;C128&amp;"|"&amp;H128))</x:f>
      </x:c>
      <x:c r="R128" s="44" t="str">
        <x:f>IF(A128="","",IF(S128&lt;&gt;"Ready","Incomplete",IF(COUNTIFS($Q$8:$Q$257,Q128,$S$8:$S$257,"Ready",$B$8:$B$257,"&lt;"&amp;B128)&gt;0,0,IF(COUNTIFS($Q$8:Q128,Q128,$S$8:S128,"Ready",$B$8:B128,B128)=1,1,0))))</x:f>
      </x:c>
      <x:c r="S128" s="44" t="str">
        <x:f>IF(A128="","",IF(COUNTIFS($A$8:$A$257,A128)&gt;1,"Duplicate ID",IF(OR(NOT(ISNUMBER(B128)),C128="",E128="",H128="",P128="",AND(OR(H128="First contact",H128="Reply",H128="Positive reply",H128="Permission confirmed"),D128=""),AND(OR(H128="First contact",H128="Permission confirmed"),OR(T128&lt;&gt;"Reviewed and confirmed",U128="",V128="")),AND(H128="Fit qualified",OR(J128&lt;&gt;"Qualified",K128="",M128="",N128="",NOT(ISNUMBER(O128)))),AND(H128="Route recommended",K128=""),AND(OR(H128="Objection",H128="No fit",H128="Lost"),L128="")),"Incomplete","Ready")))</x:f>
      </x:c>
      <x:c r="T128" s="42"/>
      <x:c r="U128" s="42"/>
      <x:c r="V128" s="42"/>
    </x:row>
    <x:row r="129" ht="23" customHeight="1">
      <x:c r="A129" s="42"/>
      <x:c r="B129" s="43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3"/>
      <x:c r="P129" s="42"/>
      <x:c r="Q129" s="44" t="str">
        <x:f>IF(A129="","",IF(OR(H129="First contact",H129="Reply",H129="Positive reply",H129="Permission confirmed"),"C|"&amp;D129&amp;"|"&amp;H129,"O|"&amp;C129&amp;"|"&amp;H129))</x:f>
      </x:c>
      <x:c r="R129" s="44" t="str">
        <x:f>IF(A129="","",IF(S129&lt;&gt;"Ready","Incomplete",IF(COUNTIFS($Q$8:$Q$257,Q129,$S$8:$S$257,"Ready",$B$8:$B$257,"&lt;"&amp;B129)&gt;0,0,IF(COUNTIFS($Q$8:Q129,Q129,$S$8:S129,"Ready",$B$8:B129,B129)=1,1,0))))</x:f>
      </x:c>
      <x:c r="S129" s="44" t="str">
        <x:f>IF(A129="","",IF(COUNTIFS($A$8:$A$257,A129)&gt;1,"Duplicate ID",IF(OR(NOT(ISNUMBER(B129)),C129="",E129="",H129="",P129="",AND(OR(H129="First contact",H129="Reply",H129="Positive reply",H129="Permission confirmed"),D129=""),AND(OR(H129="First contact",H129="Permission confirmed"),OR(T129&lt;&gt;"Reviewed and confirmed",U129="",V129="")),AND(H129="Fit qualified",OR(J129&lt;&gt;"Qualified",K129="",M129="",N129="",NOT(ISNUMBER(O129)))),AND(H129="Route recommended",K129=""),AND(OR(H129="Objection",H129="No fit",H129="Lost"),L129="")),"Incomplete","Ready")))</x:f>
      </x:c>
      <x:c r="T129" s="42"/>
      <x:c r="U129" s="42"/>
      <x:c r="V129" s="42"/>
    </x:row>
    <x:row r="130" ht="23" customHeight="1">
      <x:c r="A130" s="42"/>
      <x:c r="B130" s="43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3"/>
      <x:c r="P130" s="42"/>
      <x:c r="Q130" s="44" t="str">
        <x:f>IF(A130="","",IF(OR(H130="First contact",H130="Reply",H130="Positive reply",H130="Permission confirmed"),"C|"&amp;D130&amp;"|"&amp;H130,"O|"&amp;C130&amp;"|"&amp;H130))</x:f>
      </x:c>
      <x:c r="R130" s="44" t="str">
        <x:f>IF(A130="","",IF(S130&lt;&gt;"Ready","Incomplete",IF(COUNTIFS($Q$8:$Q$257,Q130,$S$8:$S$257,"Ready",$B$8:$B$257,"&lt;"&amp;B130)&gt;0,0,IF(COUNTIFS($Q$8:Q130,Q130,$S$8:S130,"Ready",$B$8:B130,B130)=1,1,0))))</x:f>
      </x:c>
      <x:c r="S130" s="44" t="str">
        <x:f>IF(A130="","",IF(COUNTIFS($A$8:$A$257,A130)&gt;1,"Duplicate ID",IF(OR(NOT(ISNUMBER(B130)),C130="",E130="",H130="",P130="",AND(OR(H130="First contact",H130="Reply",H130="Positive reply",H130="Permission confirmed"),D130=""),AND(OR(H130="First contact",H130="Permission confirmed"),OR(T130&lt;&gt;"Reviewed and confirmed",U130="",V130="")),AND(H130="Fit qualified",OR(J130&lt;&gt;"Qualified",K130="",M130="",N130="",NOT(ISNUMBER(O130)))),AND(H130="Route recommended",K130=""),AND(OR(H130="Objection",H130="No fit",H130="Lost"),L130="")),"Incomplete","Ready")))</x:f>
      </x:c>
      <x:c r="T130" s="42"/>
      <x:c r="U130" s="42"/>
      <x:c r="V130" s="42"/>
    </x:row>
    <x:row r="131" ht="23" customHeight="1">
      <x:c r="A131" s="42"/>
      <x:c r="B131" s="43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3"/>
      <x:c r="P131" s="42"/>
      <x:c r="Q131" s="44" t="str">
        <x:f>IF(A131="","",IF(OR(H131="First contact",H131="Reply",H131="Positive reply",H131="Permission confirmed"),"C|"&amp;D131&amp;"|"&amp;H131,"O|"&amp;C131&amp;"|"&amp;H131))</x:f>
      </x:c>
      <x:c r="R131" s="44" t="str">
        <x:f>IF(A131="","",IF(S131&lt;&gt;"Ready","Incomplete",IF(COUNTIFS($Q$8:$Q$257,Q131,$S$8:$S$257,"Ready",$B$8:$B$257,"&lt;"&amp;B131)&gt;0,0,IF(COUNTIFS($Q$8:Q131,Q131,$S$8:S131,"Ready",$B$8:B131,B131)=1,1,0))))</x:f>
      </x:c>
      <x:c r="S131" s="44" t="str">
        <x:f>IF(A131="","",IF(COUNTIFS($A$8:$A$257,A131)&gt;1,"Duplicate ID",IF(OR(NOT(ISNUMBER(B131)),C131="",E131="",H131="",P131="",AND(OR(H131="First contact",H131="Reply",H131="Positive reply",H131="Permission confirmed"),D131=""),AND(OR(H131="First contact",H131="Permission confirmed"),OR(T131&lt;&gt;"Reviewed and confirmed",U131="",V131="")),AND(H131="Fit qualified",OR(J131&lt;&gt;"Qualified",K131="",M131="",N131="",NOT(ISNUMBER(O131)))),AND(H131="Route recommended",K131=""),AND(OR(H131="Objection",H131="No fit",H131="Lost"),L131="")),"Incomplete","Ready")))</x:f>
      </x:c>
      <x:c r="T131" s="42"/>
      <x:c r="U131" s="42"/>
      <x:c r="V131" s="42"/>
    </x:row>
    <x:row r="132" ht="23" customHeight="1">
      <x:c r="A132" s="42"/>
      <x:c r="B132" s="43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3"/>
      <x:c r="P132" s="42"/>
      <x:c r="Q132" s="44" t="str">
        <x:f>IF(A132="","",IF(OR(H132="First contact",H132="Reply",H132="Positive reply",H132="Permission confirmed"),"C|"&amp;D132&amp;"|"&amp;H132,"O|"&amp;C132&amp;"|"&amp;H132))</x:f>
      </x:c>
      <x:c r="R132" s="44" t="str">
        <x:f>IF(A132="","",IF(S132&lt;&gt;"Ready","Incomplete",IF(COUNTIFS($Q$8:$Q$257,Q132,$S$8:$S$257,"Ready",$B$8:$B$257,"&lt;"&amp;B132)&gt;0,0,IF(COUNTIFS($Q$8:Q132,Q132,$S$8:S132,"Ready",$B$8:B132,B132)=1,1,0))))</x:f>
      </x:c>
      <x:c r="S132" s="44" t="str">
        <x:f>IF(A132="","",IF(COUNTIFS($A$8:$A$257,A132)&gt;1,"Duplicate ID",IF(OR(NOT(ISNUMBER(B132)),C132="",E132="",H132="",P132="",AND(OR(H132="First contact",H132="Reply",H132="Positive reply",H132="Permission confirmed"),D132=""),AND(OR(H132="First contact",H132="Permission confirmed"),OR(T132&lt;&gt;"Reviewed and confirmed",U132="",V132="")),AND(H132="Fit qualified",OR(J132&lt;&gt;"Qualified",K132="",M132="",N132="",NOT(ISNUMBER(O132)))),AND(H132="Route recommended",K132=""),AND(OR(H132="Objection",H132="No fit",H132="Lost"),L132="")),"Incomplete","Ready")))</x:f>
      </x:c>
      <x:c r="T132" s="42"/>
      <x:c r="U132" s="42"/>
      <x:c r="V132" s="42"/>
    </x:row>
    <x:row r="133" ht="23" customHeight="1">
      <x:c r="A133" s="42"/>
      <x:c r="B133" s="43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3"/>
      <x:c r="P133" s="42"/>
      <x:c r="Q133" s="44" t="str">
        <x:f>IF(A133="","",IF(OR(H133="First contact",H133="Reply",H133="Positive reply",H133="Permission confirmed"),"C|"&amp;D133&amp;"|"&amp;H133,"O|"&amp;C133&amp;"|"&amp;H133))</x:f>
      </x:c>
      <x:c r="R133" s="44" t="str">
        <x:f>IF(A133="","",IF(S133&lt;&gt;"Ready","Incomplete",IF(COUNTIFS($Q$8:$Q$257,Q133,$S$8:$S$257,"Ready",$B$8:$B$257,"&lt;"&amp;B133)&gt;0,0,IF(COUNTIFS($Q$8:Q133,Q133,$S$8:S133,"Ready",$B$8:B133,B133)=1,1,0))))</x:f>
      </x:c>
      <x:c r="S133" s="44" t="str">
        <x:f>IF(A133="","",IF(COUNTIFS($A$8:$A$257,A133)&gt;1,"Duplicate ID",IF(OR(NOT(ISNUMBER(B133)),C133="",E133="",H133="",P133="",AND(OR(H133="First contact",H133="Reply",H133="Positive reply",H133="Permission confirmed"),D133=""),AND(OR(H133="First contact",H133="Permission confirmed"),OR(T133&lt;&gt;"Reviewed and confirmed",U133="",V133="")),AND(H133="Fit qualified",OR(J133&lt;&gt;"Qualified",K133="",M133="",N133="",NOT(ISNUMBER(O133)))),AND(H133="Route recommended",K133=""),AND(OR(H133="Objection",H133="No fit",H133="Lost"),L133="")),"Incomplete","Ready")))</x:f>
      </x:c>
      <x:c r="T133" s="42"/>
      <x:c r="U133" s="42"/>
      <x:c r="V133" s="42"/>
    </x:row>
    <x:row r="134" ht="23" customHeight="1">
      <x:c r="A134" s="42"/>
      <x:c r="B134" s="43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3"/>
      <x:c r="P134" s="42"/>
      <x:c r="Q134" s="44" t="str">
        <x:f>IF(A134="","",IF(OR(H134="First contact",H134="Reply",H134="Positive reply",H134="Permission confirmed"),"C|"&amp;D134&amp;"|"&amp;H134,"O|"&amp;C134&amp;"|"&amp;H134))</x:f>
      </x:c>
      <x:c r="R134" s="44" t="str">
        <x:f>IF(A134="","",IF(S134&lt;&gt;"Ready","Incomplete",IF(COUNTIFS($Q$8:$Q$257,Q134,$S$8:$S$257,"Ready",$B$8:$B$257,"&lt;"&amp;B134)&gt;0,0,IF(COUNTIFS($Q$8:Q134,Q134,$S$8:S134,"Ready",$B$8:B134,B134)=1,1,0))))</x:f>
      </x:c>
      <x:c r="S134" s="44" t="str">
        <x:f>IF(A134="","",IF(COUNTIFS($A$8:$A$257,A134)&gt;1,"Duplicate ID",IF(OR(NOT(ISNUMBER(B134)),C134="",E134="",H134="",P134="",AND(OR(H134="First contact",H134="Reply",H134="Positive reply",H134="Permission confirmed"),D134=""),AND(OR(H134="First contact",H134="Permission confirmed"),OR(T134&lt;&gt;"Reviewed and confirmed",U134="",V134="")),AND(H134="Fit qualified",OR(J134&lt;&gt;"Qualified",K134="",M134="",N134="",NOT(ISNUMBER(O134)))),AND(H134="Route recommended",K134=""),AND(OR(H134="Objection",H134="No fit",H134="Lost"),L134="")),"Incomplete","Ready")))</x:f>
      </x:c>
      <x:c r="T134" s="42"/>
      <x:c r="U134" s="42"/>
      <x:c r="V134" s="42"/>
    </x:row>
    <x:row r="135" ht="23" customHeight="1">
      <x:c r="A135" s="42"/>
      <x:c r="B135" s="43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3"/>
      <x:c r="P135" s="42"/>
      <x:c r="Q135" s="44" t="str">
        <x:f>IF(A135="","",IF(OR(H135="First contact",H135="Reply",H135="Positive reply",H135="Permission confirmed"),"C|"&amp;D135&amp;"|"&amp;H135,"O|"&amp;C135&amp;"|"&amp;H135))</x:f>
      </x:c>
      <x:c r="R135" s="44" t="str">
        <x:f>IF(A135="","",IF(S135&lt;&gt;"Ready","Incomplete",IF(COUNTIFS($Q$8:$Q$257,Q135,$S$8:$S$257,"Ready",$B$8:$B$257,"&lt;"&amp;B135)&gt;0,0,IF(COUNTIFS($Q$8:Q135,Q135,$S$8:S135,"Ready",$B$8:B135,B135)=1,1,0))))</x:f>
      </x:c>
      <x:c r="S135" s="44" t="str">
        <x:f>IF(A135="","",IF(COUNTIFS($A$8:$A$257,A135)&gt;1,"Duplicate ID",IF(OR(NOT(ISNUMBER(B135)),C135="",E135="",H135="",P135="",AND(OR(H135="First contact",H135="Reply",H135="Positive reply",H135="Permission confirmed"),D135=""),AND(OR(H135="First contact",H135="Permission confirmed"),OR(T135&lt;&gt;"Reviewed and confirmed",U135="",V135="")),AND(H135="Fit qualified",OR(J135&lt;&gt;"Qualified",K135="",M135="",N135="",NOT(ISNUMBER(O135)))),AND(H135="Route recommended",K135=""),AND(OR(H135="Objection",H135="No fit",H135="Lost"),L135="")),"Incomplete","Ready")))</x:f>
      </x:c>
      <x:c r="T135" s="42"/>
      <x:c r="U135" s="42"/>
      <x:c r="V135" s="42"/>
    </x:row>
    <x:row r="136" ht="23" customHeight="1">
      <x:c r="A136" s="42"/>
      <x:c r="B136" s="43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3"/>
      <x:c r="P136" s="42"/>
      <x:c r="Q136" s="44" t="str">
        <x:f>IF(A136="","",IF(OR(H136="First contact",H136="Reply",H136="Positive reply",H136="Permission confirmed"),"C|"&amp;D136&amp;"|"&amp;H136,"O|"&amp;C136&amp;"|"&amp;H136))</x:f>
      </x:c>
      <x:c r="R136" s="44" t="str">
        <x:f>IF(A136="","",IF(S136&lt;&gt;"Ready","Incomplete",IF(COUNTIFS($Q$8:$Q$257,Q136,$S$8:$S$257,"Ready",$B$8:$B$257,"&lt;"&amp;B136)&gt;0,0,IF(COUNTIFS($Q$8:Q136,Q136,$S$8:S136,"Ready",$B$8:B136,B136)=1,1,0))))</x:f>
      </x:c>
      <x:c r="S136" s="44" t="str">
        <x:f>IF(A136="","",IF(COUNTIFS($A$8:$A$257,A136)&gt;1,"Duplicate ID",IF(OR(NOT(ISNUMBER(B136)),C136="",E136="",H136="",P136="",AND(OR(H136="First contact",H136="Reply",H136="Positive reply",H136="Permission confirmed"),D136=""),AND(OR(H136="First contact",H136="Permission confirmed"),OR(T136&lt;&gt;"Reviewed and confirmed",U136="",V136="")),AND(H136="Fit qualified",OR(J136&lt;&gt;"Qualified",K136="",M136="",N136="",NOT(ISNUMBER(O136)))),AND(H136="Route recommended",K136=""),AND(OR(H136="Objection",H136="No fit",H136="Lost"),L136="")),"Incomplete","Ready")))</x:f>
      </x:c>
      <x:c r="T136" s="42"/>
      <x:c r="U136" s="42"/>
      <x:c r="V136" s="42"/>
    </x:row>
    <x:row r="137" ht="23" customHeight="1">
      <x:c r="A137" s="42"/>
      <x:c r="B137" s="43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3"/>
      <x:c r="P137" s="42"/>
      <x:c r="Q137" s="44" t="str">
        <x:f>IF(A137="","",IF(OR(H137="First contact",H137="Reply",H137="Positive reply",H137="Permission confirmed"),"C|"&amp;D137&amp;"|"&amp;H137,"O|"&amp;C137&amp;"|"&amp;H137))</x:f>
      </x:c>
      <x:c r="R137" s="44" t="str">
        <x:f>IF(A137="","",IF(S137&lt;&gt;"Ready","Incomplete",IF(COUNTIFS($Q$8:$Q$257,Q137,$S$8:$S$257,"Ready",$B$8:$B$257,"&lt;"&amp;B137)&gt;0,0,IF(COUNTIFS($Q$8:Q137,Q137,$S$8:S137,"Ready",$B$8:B137,B137)=1,1,0))))</x:f>
      </x:c>
      <x:c r="S137" s="44" t="str">
        <x:f>IF(A137="","",IF(COUNTIFS($A$8:$A$257,A137)&gt;1,"Duplicate ID",IF(OR(NOT(ISNUMBER(B137)),C137="",E137="",H137="",P137="",AND(OR(H137="First contact",H137="Reply",H137="Positive reply",H137="Permission confirmed"),D137=""),AND(OR(H137="First contact",H137="Permission confirmed"),OR(T137&lt;&gt;"Reviewed and confirmed",U137="",V137="")),AND(H137="Fit qualified",OR(J137&lt;&gt;"Qualified",K137="",M137="",N137="",NOT(ISNUMBER(O137)))),AND(H137="Route recommended",K137=""),AND(OR(H137="Objection",H137="No fit",H137="Lost"),L137="")),"Incomplete","Ready")))</x:f>
      </x:c>
      <x:c r="T137" s="42"/>
      <x:c r="U137" s="42"/>
      <x:c r="V137" s="42"/>
    </x:row>
    <x:row r="138" ht="23" customHeight="1">
      <x:c r="A138" s="42"/>
      <x:c r="B138" s="43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3"/>
      <x:c r="P138" s="42"/>
      <x:c r="Q138" s="44" t="str">
        <x:f>IF(A138="","",IF(OR(H138="First contact",H138="Reply",H138="Positive reply",H138="Permission confirmed"),"C|"&amp;D138&amp;"|"&amp;H138,"O|"&amp;C138&amp;"|"&amp;H138))</x:f>
      </x:c>
      <x:c r="R138" s="44" t="str">
        <x:f>IF(A138="","",IF(S138&lt;&gt;"Ready","Incomplete",IF(COUNTIFS($Q$8:$Q$257,Q138,$S$8:$S$257,"Ready",$B$8:$B$257,"&lt;"&amp;B138)&gt;0,0,IF(COUNTIFS($Q$8:Q138,Q138,$S$8:S138,"Ready",$B$8:B138,B138)=1,1,0))))</x:f>
      </x:c>
      <x:c r="S138" s="44" t="str">
        <x:f>IF(A138="","",IF(COUNTIFS($A$8:$A$257,A138)&gt;1,"Duplicate ID",IF(OR(NOT(ISNUMBER(B138)),C138="",E138="",H138="",P138="",AND(OR(H138="First contact",H138="Reply",H138="Positive reply",H138="Permission confirmed"),D138=""),AND(OR(H138="First contact",H138="Permission confirmed"),OR(T138&lt;&gt;"Reviewed and confirmed",U138="",V138="")),AND(H138="Fit qualified",OR(J138&lt;&gt;"Qualified",K138="",M138="",N138="",NOT(ISNUMBER(O138)))),AND(H138="Route recommended",K138=""),AND(OR(H138="Objection",H138="No fit",H138="Lost"),L138="")),"Incomplete","Ready")))</x:f>
      </x:c>
      <x:c r="T138" s="42"/>
      <x:c r="U138" s="42"/>
      <x:c r="V138" s="42"/>
    </x:row>
    <x:row r="139" ht="23" customHeight="1">
      <x:c r="A139" s="42"/>
      <x:c r="B139" s="43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3"/>
      <x:c r="P139" s="42"/>
      <x:c r="Q139" s="44" t="str">
        <x:f>IF(A139="","",IF(OR(H139="First contact",H139="Reply",H139="Positive reply",H139="Permission confirmed"),"C|"&amp;D139&amp;"|"&amp;H139,"O|"&amp;C139&amp;"|"&amp;H139))</x:f>
      </x:c>
      <x:c r="R139" s="44" t="str">
        <x:f>IF(A139="","",IF(S139&lt;&gt;"Ready","Incomplete",IF(COUNTIFS($Q$8:$Q$257,Q139,$S$8:$S$257,"Ready",$B$8:$B$257,"&lt;"&amp;B139)&gt;0,0,IF(COUNTIFS($Q$8:Q139,Q139,$S$8:S139,"Ready",$B$8:B139,B139)=1,1,0))))</x:f>
      </x:c>
      <x:c r="S139" s="44" t="str">
        <x:f>IF(A139="","",IF(COUNTIFS($A$8:$A$257,A139)&gt;1,"Duplicate ID",IF(OR(NOT(ISNUMBER(B139)),C139="",E139="",H139="",P139="",AND(OR(H139="First contact",H139="Reply",H139="Positive reply",H139="Permission confirmed"),D139=""),AND(OR(H139="First contact",H139="Permission confirmed"),OR(T139&lt;&gt;"Reviewed and confirmed",U139="",V139="")),AND(H139="Fit qualified",OR(J139&lt;&gt;"Qualified",K139="",M139="",N139="",NOT(ISNUMBER(O139)))),AND(H139="Route recommended",K139=""),AND(OR(H139="Objection",H139="No fit",H139="Lost"),L139="")),"Incomplete","Ready")))</x:f>
      </x:c>
      <x:c r="T139" s="42"/>
      <x:c r="U139" s="42"/>
      <x:c r="V139" s="42"/>
    </x:row>
    <x:row r="140" ht="23" customHeight="1">
      <x:c r="A140" s="42"/>
      <x:c r="B140" s="43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3"/>
      <x:c r="P140" s="42"/>
      <x:c r="Q140" s="44" t="str">
        <x:f>IF(A140="","",IF(OR(H140="First contact",H140="Reply",H140="Positive reply",H140="Permission confirmed"),"C|"&amp;D140&amp;"|"&amp;H140,"O|"&amp;C140&amp;"|"&amp;H140))</x:f>
      </x:c>
      <x:c r="R140" s="44" t="str">
        <x:f>IF(A140="","",IF(S140&lt;&gt;"Ready","Incomplete",IF(COUNTIFS($Q$8:$Q$257,Q140,$S$8:$S$257,"Ready",$B$8:$B$257,"&lt;"&amp;B140)&gt;0,0,IF(COUNTIFS($Q$8:Q140,Q140,$S$8:S140,"Ready",$B$8:B140,B140)=1,1,0))))</x:f>
      </x:c>
      <x:c r="S140" s="44" t="str">
        <x:f>IF(A140="","",IF(COUNTIFS($A$8:$A$257,A140)&gt;1,"Duplicate ID",IF(OR(NOT(ISNUMBER(B140)),C140="",E140="",H140="",P140="",AND(OR(H140="First contact",H140="Reply",H140="Positive reply",H140="Permission confirmed"),D140=""),AND(OR(H140="First contact",H140="Permission confirmed"),OR(T140&lt;&gt;"Reviewed and confirmed",U140="",V140="")),AND(H140="Fit qualified",OR(J140&lt;&gt;"Qualified",K140="",M140="",N140="",NOT(ISNUMBER(O140)))),AND(H140="Route recommended",K140=""),AND(OR(H140="Objection",H140="No fit",H140="Lost"),L140="")),"Incomplete","Ready")))</x:f>
      </x:c>
      <x:c r="T140" s="42"/>
      <x:c r="U140" s="42"/>
      <x:c r="V140" s="42"/>
    </x:row>
    <x:row r="141" ht="23" customHeight="1">
      <x:c r="A141" s="42"/>
      <x:c r="B141" s="43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3"/>
      <x:c r="P141" s="42"/>
      <x:c r="Q141" s="44" t="str">
        <x:f>IF(A141="","",IF(OR(H141="First contact",H141="Reply",H141="Positive reply",H141="Permission confirmed"),"C|"&amp;D141&amp;"|"&amp;H141,"O|"&amp;C141&amp;"|"&amp;H141))</x:f>
      </x:c>
      <x:c r="R141" s="44" t="str">
        <x:f>IF(A141="","",IF(S141&lt;&gt;"Ready","Incomplete",IF(COUNTIFS($Q$8:$Q$257,Q141,$S$8:$S$257,"Ready",$B$8:$B$257,"&lt;"&amp;B141)&gt;0,0,IF(COUNTIFS($Q$8:Q141,Q141,$S$8:S141,"Ready",$B$8:B141,B141)=1,1,0))))</x:f>
      </x:c>
      <x:c r="S141" s="44" t="str">
        <x:f>IF(A141="","",IF(COUNTIFS($A$8:$A$257,A141)&gt;1,"Duplicate ID",IF(OR(NOT(ISNUMBER(B141)),C141="",E141="",H141="",P141="",AND(OR(H141="First contact",H141="Reply",H141="Positive reply",H141="Permission confirmed"),D141=""),AND(OR(H141="First contact",H141="Permission confirmed"),OR(T141&lt;&gt;"Reviewed and confirmed",U141="",V141="")),AND(H141="Fit qualified",OR(J141&lt;&gt;"Qualified",K141="",M141="",N141="",NOT(ISNUMBER(O141)))),AND(H141="Route recommended",K141=""),AND(OR(H141="Objection",H141="No fit",H141="Lost"),L141="")),"Incomplete","Ready")))</x:f>
      </x:c>
      <x:c r="T141" s="42"/>
      <x:c r="U141" s="42"/>
      <x:c r="V141" s="42"/>
    </x:row>
    <x:row r="142" ht="23" customHeight="1">
      <x:c r="A142" s="42"/>
      <x:c r="B142" s="43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3"/>
      <x:c r="P142" s="42"/>
      <x:c r="Q142" s="44" t="str">
        <x:f>IF(A142="","",IF(OR(H142="First contact",H142="Reply",H142="Positive reply",H142="Permission confirmed"),"C|"&amp;D142&amp;"|"&amp;H142,"O|"&amp;C142&amp;"|"&amp;H142))</x:f>
      </x:c>
      <x:c r="R142" s="44" t="str">
        <x:f>IF(A142="","",IF(S142&lt;&gt;"Ready","Incomplete",IF(COUNTIFS($Q$8:$Q$257,Q142,$S$8:$S$257,"Ready",$B$8:$B$257,"&lt;"&amp;B142)&gt;0,0,IF(COUNTIFS($Q$8:Q142,Q142,$S$8:S142,"Ready",$B$8:B142,B142)=1,1,0))))</x:f>
      </x:c>
      <x:c r="S142" s="44" t="str">
        <x:f>IF(A142="","",IF(COUNTIFS($A$8:$A$257,A142)&gt;1,"Duplicate ID",IF(OR(NOT(ISNUMBER(B142)),C142="",E142="",H142="",P142="",AND(OR(H142="First contact",H142="Reply",H142="Positive reply",H142="Permission confirmed"),D142=""),AND(OR(H142="First contact",H142="Permission confirmed"),OR(T142&lt;&gt;"Reviewed and confirmed",U142="",V142="")),AND(H142="Fit qualified",OR(J142&lt;&gt;"Qualified",K142="",M142="",N142="",NOT(ISNUMBER(O142)))),AND(H142="Route recommended",K142=""),AND(OR(H142="Objection",H142="No fit",H142="Lost"),L142="")),"Incomplete","Ready")))</x:f>
      </x:c>
      <x:c r="T142" s="42"/>
      <x:c r="U142" s="42"/>
      <x:c r="V142" s="42"/>
    </x:row>
    <x:row r="143" ht="23" customHeight="1">
      <x:c r="A143" s="42"/>
      <x:c r="B143" s="43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3"/>
      <x:c r="P143" s="42"/>
      <x:c r="Q143" s="44" t="str">
        <x:f>IF(A143="","",IF(OR(H143="First contact",H143="Reply",H143="Positive reply",H143="Permission confirmed"),"C|"&amp;D143&amp;"|"&amp;H143,"O|"&amp;C143&amp;"|"&amp;H143))</x:f>
      </x:c>
      <x:c r="R143" s="44" t="str">
        <x:f>IF(A143="","",IF(S143&lt;&gt;"Ready","Incomplete",IF(COUNTIFS($Q$8:$Q$257,Q143,$S$8:$S$257,"Ready",$B$8:$B$257,"&lt;"&amp;B143)&gt;0,0,IF(COUNTIFS($Q$8:Q143,Q143,$S$8:S143,"Ready",$B$8:B143,B143)=1,1,0))))</x:f>
      </x:c>
      <x:c r="S143" s="44" t="str">
        <x:f>IF(A143="","",IF(COUNTIFS($A$8:$A$257,A143)&gt;1,"Duplicate ID",IF(OR(NOT(ISNUMBER(B143)),C143="",E143="",H143="",P143="",AND(OR(H143="First contact",H143="Reply",H143="Positive reply",H143="Permission confirmed"),D143=""),AND(OR(H143="First contact",H143="Permission confirmed"),OR(T143&lt;&gt;"Reviewed and confirmed",U143="",V143="")),AND(H143="Fit qualified",OR(J143&lt;&gt;"Qualified",K143="",M143="",N143="",NOT(ISNUMBER(O143)))),AND(H143="Route recommended",K143=""),AND(OR(H143="Objection",H143="No fit",H143="Lost"),L143="")),"Incomplete","Ready")))</x:f>
      </x:c>
      <x:c r="T143" s="42"/>
      <x:c r="U143" s="42"/>
      <x:c r="V143" s="42"/>
    </x:row>
    <x:row r="144" ht="23" customHeight="1">
      <x:c r="A144" s="42"/>
      <x:c r="B144" s="43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3"/>
      <x:c r="P144" s="42"/>
      <x:c r="Q144" s="44" t="str">
        <x:f>IF(A144="","",IF(OR(H144="First contact",H144="Reply",H144="Positive reply",H144="Permission confirmed"),"C|"&amp;D144&amp;"|"&amp;H144,"O|"&amp;C144&amp;"|"&amp;H144))</x:f>
      </x:c>
      <x:c r="R144" s="44" t="str">
        <x:f>IF(A144="","",IF(S144&lt;&gt;"Ready","Incomplete",IF(COUNTIFS($Q$8:$Q$257,Q144,$S$8:$S$257,"Ready",$B$8:$B$257,"&lt;"&amp;B144)&gt;0,0,IF(COUNTIFS($Q$8:Q144,Q144,$S$8:S144,"Ready",$B$8:B144,B144)=1,1,0))))</x:f>
      </x:c>
      <x:c r="S144" s="44" t="str">
        <x:f>IF(A144="","",IF(COUNTIFS($A$8:$A$257,A144)&gt;1,"Duplicate ID",IF(OR(NOT(ISNUMBER(B144)),C144="",E144="",H144="",P144="",AND(OR(H144="First contact",H144="Reply",H144="Positive reply",H144="Permission confirmed"),D144=""),AND(OR(H144="First contact",H144="Permission confirmed"),OR(T144&lt;&gt;"Reviewed and confirmed",U144="",V144="")),AND(H144="Fit qualified",OR(J144&lt;&gt;"Qualified",K144="",M144="",N144="",NOT(ISNUMBER(O144)))),AND(H144="Route recommended",K144=""),AND(OR(H144="Objection",H144="No fit",H144="Lost"),L144="")),"Incomplete","Ready")))</x:f>
      </x:c>
      <x:c r="T144" s="42"/>
      <x:c r="U144" s="42"/>
      <x:c r="V144" s="42"/>
    </x:row>
    <x:row r="145" ht="23" customHeight="1">
      <x:c r="A145" s="42"/>
      <x:c r="B145" s="43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3"/>
      <x:c r="P145" s="42"/>
      <x:c r="Q145" s="44" t="str">
        <x:f>IF(A145="","",IF(OR(H145="First contact",H145="Reply",H145="Positive reply",H145="Permission confirmed"),"C|"&amp;D145&amp;"|"&amp;H145,"O|"&amp;C145&amp;"|"&amp;H145))</x:f>
      </x:c>
      <x:c r="R145" s="44" t="str">
        <x:f>IF(A145="","",IF(S145&lt;&gt;"Ready","Incomplete",IF(COUNTIFS($Q$8:$Q$257,Q145,$S$8:$S$257,"Ready",$B$8:$B$257,"&lt;"&amp;B145)&gt;0,0,IF(COUNTIFS($Q$8:Q145,Q145,$S$8:S145,"Ready",$B$8:B145,B145)=1,1,0))))</x:f>
      </x:c>
      <x:c r="S145" s="44" t="str">
        <x:f>IF(A145="","",IF(COUNTIFS($A$8:$A$257,A145)&gt;1,"Duplicate ID",IF(OR(NOT(ISNUMBER(B145)),C145="",E145="",H145="",P145="",AND(OR(H145="First contact",H145="Reply",H145="Positive reply",H145="Permission confirmed"),D145=""),AND(OR(H145="First contact",H145="Permission confirmed"),OR(T145&lt;&gt;"Reviewed and confirmed",U145="",V145="")),AND(H145="Fit qualified",OR(J145&lt;&gt;"Qualified",K145="",M145="",N145="",NOT(ISNUMBER(O145)))),AND(H145="Route recommended",K145=""),AND(OR(H145="Objection",H145="No fit",H145="Lost"),L145="")),"Incomplete","Ready")))</x:f>
      </x:c>
      <x:c r="T145" s="42"/>
      <x:c r="U145" s="42"/>
      <x:c r="V145" s="42"/>
    </x:row>
    <x:row r="146" ht="23" customHeight="1">
      <x:c r="A146" s="42"/>
      <x:c r="B146" s="43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3"/>
      <x:c r="P146" s="42"/>
      <x:c r="Q146" s="44" t="str">
        <x:f>IF(A146="","",IF(OR(H146="First contact",H146="Reply",H146="Positive reply",H146="Permission confirmed"),"C|"&amp;D146&amp;"|"&amp;H146,"O|"&amp;C146&amp;"|"&amp;H146))</x:f>
      </x:c>
      <x:c r="R146" s="44" t="str">
        <x:f>IF(A146="","",IF(S146&lt;&gt;"Ready","Incomplete",IF(COUNTIFS($Q$8:$Q$257,Q146,$S$8:$S$257,"Ready",$B$8:$B$257,"&lt;"&amp;B146)&gt;0,0,IF(COUNTIFS($Q$8:Q146,Q146,$S$8:S146,"Ready",$B$8:B146,B146)=1,1,0))))</x:f>
      </x:c>
      <x:c r="S146" s="44" t="str">
        <x:f>IF(A146="","",IF(COUNTIFS($A$8:$A$257,A146)&gt;1,"Duplicate ID",IF(OR(NOT(ISNUMBER(B146)),C146="",E146="",H146="",P146="",AND(OR(H146="First contact",H146="Reply",H146="Positive reply",H146="Permission confirmed"),D146=""),AND(OR(H146="First contact",H146="Permission confirmed"),OR(T146&lt;&gt;"Reviewed and confirmed",U146="",V146="")),AND(H146="Fit qualified",OR(J146&lt;&gt;"Qualified",K146="",M146="",N146="",NOT(ISNUMBER(O146)))),AND(H146="Route recommended",K146=""),AND(OR(H146="Objection",H146="No fit",H146="Lost"),L146="")),"Incomplete","Ready")))</x:f>
      </x:c>
      <x:c r="T146" s="42"/>
      <x:c r="U146" s="42"/>
      <x:c r="V146" s="42"/>
    </x:row>
    <x:row r="147" ht="23" customHeight="1">
      <x:c r="A147" s="42"/>
      <x:c r="B147" s="43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3"/>
      <x:c r="P147" s="42"/>
      <x:c r="Q147" s="44" t="str">
        <x:f>IF(A147="","",IF(OR(H147="First contact",H147="Reply",H147="Positive reply",H147="Permission confirmed"),"C|"&amp;D147&amp;"|"&amp;H147,"O|"&amp;C147&amp;"|"&amp;H147))</x:f>
      </x:c>
      <x:c r="R147" s="44" t="str">
        <x:f>IF(A147="","",IF(S147&lt;&gt;"Ready","Incomplete",IF(COUNTIFS($Q$8:$Q$257,Q147,$S$8:$S$257,"Ready",$B$8:$B$257,"&lt;"&amp;B147)&gt;0,0,IF(COUNTIFS($Q$8:Q147,Q147,$S$8:S147,"Ready",$B$8:B147,B147)=1,1,0))))</x:f>
      </x:c>
      <x:c r="S147" s="44" t="str">
        <x:f>IF(A147="","",IF(COUNTIFS($A$8:$A$257,A147)&gt;1,"Duplicate ID",IF(OR(NOT(ISNUMBER(B147)),C147="",E147="",H147="",P147="",AND(OR(H147="First contact",H147="Reply",H147="Positive reply",H147="Permission confirmed"),D147=""),AND(OR(H147="First contact",H147="Permission confirmed"),OR(T147&lt;&gt;"Reviewed and confirmed",U147="",V147="")),AND(H147="Fit qualified",OR(J147&lt;&gt;"Qualified",K147="",M147="",N147="",NOT(ISNUMBER(O147)))),AND(H147="Route recommended",K147=""),AND(OR(H147="Objection",H147="No fit",H147="Lost"),L147="")),"Incomplete","Ready")))</x:f>
      </x:c>
      <x:c r="T147" s="42"/>
      <x:c r="U147" s="42"/>
      <x:c r="V147" s="42"/>
    </x:row>
    <x:row r="148" ht="23" customHeight="1">
      <x:c r="A148" s="42"/>
      <x:c r="B148" s="43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3"/>
      <x:c r="P148" s="42"/>
      <x:c r="Q148" s="44" t="str">
        <x:f>IF(A148="","",IF(OR(H148="First contact",H148="Reply",H148="Positive reply",H148="Permission confirmed"),"C|"&amp;D148&amp;"|"&amp;H148,"O|"&amp;C148&amp;"|"&amp;H148))</x:f>
      </x:c>
      <x:c r="R148" s="44" t="str">
        <x:f>IF(A148="","",IF(S148&lt;&gt;"Ready","Incomplete",IF(COUNTIFS($Q$8:$Q$257,Q148,$S$8:$S$257,"Ready",$B$8:$B$257,"&lt;"&amp;B148)&gt;0,0,IF(COUNTIFS($Q$8:Q148,Q148,$S$8:S148,"Ready",$B$8:B148,B148)=1,1,0))))</x:f>
      </x:c>
      <x:c r="S148" s="44" t="str">
        <x:f>IF(A148="","",IF(COUNTIFS($A$8:$A$257,A148)&gt;1,"Duplicate ID",IF(OR(NOT(ISNUMBER(B148)),C148="",E148="",H148="",P148="",AND(OR(H148="First contact",H148="Reply",H148="Positive reply",H148="Permission confirmed"),D148=""),AND(OR(H148="First contact",H148="Permission confirmed"),OR(T148&lt;&gt;"Reviewed and confirmed",U148="",V148="")),AND(H148="Fit qualified",OR(J148&lt;&gt;"Qualified",K148="",M148="",N148="",NOT(ISNUMBER(O148)))),AND(H148="Route recommended",K148=""),AND(OR(H148="Objection",H148="No fit",H148="Lost"),L148="")),"Incomplete","Ready")))</x:f>
      </x:c>
      <x:c r="T148" s="42"/>
      <x:c r="U148" s="42"/>
      <x:c r="V148" s="42"/>
    </x:row>
    <x:row r="149" ht="23" customHeight="1">
      <x:c r="A149" s="42"/>
      <x:c r="B149" s="43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3"/>
      <x:c r="P149" s="42"/>
      <x:c r="Q149" s="44" t="str">
        <x:f>IF(A149="","",IF(OR(H149="First contact",H149="Reply",H149="Positive reply",H149="Permission confirmed"),"C|"&amp;D149&amp;"|"&amp;H149,"O|"&amp;C149&amp;"|"&amp;H149))</x:f>
      </x:c>
      <x:c r="R149" s="44" t="str">
        <x:f>IF(A149="","",IF(S149&lt;&gt;"Ready","Incomplete",IF(COUNTIFS($Q$8:$Q$257,Q149,$S$8:$S$257,"Ready",$B$8:$B$257,"&lt;"&amp;B149)&gt;0,0,IF(COUNTIFS($Q$8:Q149,Q149,$S$8:S149,"Ready",$B$8:B149,B149)=1,1,0))))</x:f>
      </x:c>
      <x:c r="S149" s="44" t="str">
        <x:f>IF(A149="","",IF(COUNTIFS($A$8:$A$257,A149)&gt;1,"Duplicate ID",IF(OR(NOT(ISNUMBER(B149)),C149="",E149="",H149="",P149="",AND(OR(H149="First contact",H149="Reply",H149="Positive reply",H149="Permission confirmed"),D149=""),AND(OR(H149="First contact",H149="Permission confirmed"),OR(T149&lt;&gt;"Reviewed and confirmed",U149="",V149="")),AND(H149="Fit qualified",OR(J149&lt;&gt;"Qualified",K149="",M149="",N149="",NOT(ISNUMBER(O149)))),AND(H149="Route recommended",K149=""),AND(OR(H149="Objection",H149="No fit",H149="Lost"),L149="")),"Incomplete","Ready")))</x:f>
      </x:c>
      <x:c r="T149" s="42"/>
      <x:c r="U149" s="42"/>
      <x:c r="V149" s="42"/>
    </x:row>
    <x:row r="150" ht="23" customHeight="1">
      <x:c r="A150" s="42"/>
      <x:c r="B150" s="43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3"/>
      <x:c r="P150" s="42"/>
      <x:c r="Q150" s="44" t="str">
        <x:f>IF(A150="","",IF(OR(H150="First contact",H150="Reply",H150="Positive reply",H150="Permission confirmed"),"C|"&amp;D150&amp;"|"&amp;H150,"O|"&amp;C150&amp;"|"&amp;H150))</x:f>
      </x:c>
      <x:c r="R150" s="44" t="str">
        <x:f>IF(A150="","",IF(S150&lt;&gt;"Ready","Incomplete",IF(COUNTIFS($Q$8:$Q$257,Q150,$S$8:$S$257,"Ready",$B$8:$B$257,"&lt;"&amp;B150)&gt;0,0,IF(COUNTIFS($Q$8:Q150,Q150,$S$8:S150,"Ready",$B$8:B150,B150)=1,1,0))))</x:f>
      </x:c>
      <x:c r="S150" s="44" t="str">
        <x:f>IF(A150="","",IF(COUNTIFS($A$8:$A$257,A150)&gt;1,"Duplicate ID",IF(OR(NOT(ISNUMBER(B150)),C150="",E150="",H150="",P150="",AND(OR(H150="First contact",H150="Reply",H150="Positive reply",H150="Permission confirmed"),D150=""),AND(OR(H150="First contact",H150="Permission confirmed"),OR(T150&lt;&gt;"Reviewed and confirmed",U150="",V150="")),AND(H150="Fit qualified",OR(J150&lt;&gt;"Qualified",K150="",M150="",N150="",NOT(ISNUMBER(O150)))),AND(H150="Route recommended",K150=""),AND(OR(H150="Objection",H150="No fit",H150="Lost"),L150="")),"Incomplete","Ready")))</x:f>
      </x:c>
      <x:c r="T150" s="42"/>
      <x:c r="U150" s="42"/>
      <x:c r="V150" s="42"/>
    </x:row>
    <x:row r="151" ht="23" customHeight="1">
      <x:c r="A151" s="42"/>
      <x:c r="B151" s="43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3"/>
      <x:c r="P151" s="42"/>
      <x:c r="Q151" s="44" t="str">
        <x:f>IF(A151="","",IF(OR(H151="First contact",H151="Reply",H151="Positive reply",H151="Permission confirmed"),"C|"&amp;D151&amp;"|"&amp;H151,"O|"&amp;C151&amp;"|"&amp;H151))</x:f>
      </x:c>
      <x:c r="R151" s="44" t="str">
        <x:f>IF(A151="","",IF(S151&lt;&gt;"Ready","Incomplete",IF(COUNTIFS($Q$8:$Q$257,Q151,$S$8:$S$257,"Ready",$B$8:$B$257,"&lt;"&amp;B151)&gt;0,0,IF(COUNTIFS($Q$8:Q151,Q151,$S$8:S151,"Ready",$B$8:B151,B151)=1,1,0))))</x:f>
      </x:c>
      <x:c r="S151" s="44" t="str">
        <x:f>IF(A151="","",IF(COUNTIFS($A$8:$A$257,A151)&gt;1,"Duplicate ID",IF(OR(NOT(ISNUMBER(B151)),C151="",E151="",H151="",P151="",AND(OR(H151="First contact",H151="Reply",H151="Positive reply",H151="Permission confirmed"),D151=""),AND(OR(H151="First contact",H151="Permission confirmed"),OR(T151&lt;&gt;"Reviewed and confirmed",U151="",V151="")),AND(H151="Fit qualified",OR(J151&lt;&gt;"Qualified",K151="",M151="",N151="",NOT(ISNUMBER(O151)))),AND(H151="Route recommended",K151=""),AND(OR(H151="Objection",H151="No fit",H151="Lost"),L151="")),"Incomplete","Ready")))</x:f>
      </x:c>
      <x:c r="T151" s="42"/>
      <x:c r="U151" s="42"/>
      <x:c r="V151" s="42"/>
    </x:row>
    <x:row r="152" ht="23" customHeight="1">
      <x:c r="A152" s="42"/>
      <x:c r="B152" s="43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3"/>
      <x:c r="P152" s="42"/>
      <x:c r="Q152" s="44" t="str">
        <x:f>IF(A152="","",IF(OR(H152="First contact",H152="Reply",H152="Positive reply",H152="Permission confirmed"),"C|"&amp;D152&amp;"|"&amp;H152,"O|"&amp;C152&amp;"|"&amp;H152))</x:f>
      </x:c>
      <x:c r="R152" s="44" t="str">
        <x:f>IF(A152="","",IF(S152&lt;&gt;"Ready","Incomplete",IF(COUNTIFS($Q$8:$Q$257,Q152,$S$8:$S$257,"Ready",$B$8:$B$257,"&lt;"&amp;B152)&gt;0,0,IF(COUNTIFS($Q$8:Q152,Q152,$S$8:S152,"Ready",$B$8:B152,B152)=1,1,0))))</x:f>
      </x:c>
      <x:c r="S152" s="44" t="str">
        <x:f>IF(A152="","",IF(COUNTIFS($A$8:$A$257,A152)&gt;1,"Duplicate ID",IF(OR(NOT(ISNUMBER(B152)),C152="",E152="",H152="",P152="",AND(OR(H152="First contact",H152="Reply",H152="Positive reply",H152="Permission confirmed"),D152=""),AND(OR(H152="First contact",H152="Permission confirmed"),OR(T152&lt;&gt;"Reviewed and confirmed",U152="",V152="")),AND(H152="Fit qualified",OR(J152&lt;&gt;"Qualified",K152="",M152="",N152="",NOT(ISNUMBER(O152)))),AND(H152="Route recommended",K152=""),AND(OR(H152="Objection",H152="No fit",H152="Lost"),L152="")),"Incomplete","Ready")))</x:f>
      </x:c>
      <x:c r="T152" s="42"/>
      <x:c r="U152" s="42"/>
      <x:c r="V152" s="42"/>
    </x:row>
    <x:row r="153" ht="23" customHeight="1">
      <x:c r="A153" s="42"/>
      <x:c r="B153" s="43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3"/>
      <x:c r="P153" s="42"/>
      <x:c r="Q153" s="44" t="str">
        <x:f>IF(A153="","",IF(OR(H153="First contact",H153="Reply",H153="Positive reply",H153="Permission confirmed"),"C|"&amp;D153&amp;"|"&amp;H153,"O|"&amp;C153&amp;"|"&amp;H153))</x:f>
      </x:c>
      <x:c r="R153" s="44" t="str">
        <x:f>IF(A153="","",IF(S153&lt;&gt;"Ready","Incomplete",IF(COUNTIFS($Q$8:$Q$257,Q153,$S$8:$S$257,"Ready",$B$8:$B$257,"&lt;"&amp;B153)&gt;0,0,IF(COUNTIFS($Q$8:Q153,Q153,$S$8:S153,"Ready",$B$8:B153,B153)=1,1,0))))</x:f>
      </x:c>
      <x:c r="S153" s="44" t="str">
        <x:f>IF(A153="","",IF(COUNTIFS($A$8:$A$257,A153)&gt;1,"Duplicate ID",IF(OR(NOT(ISNUMBER(B153)),C153="",E153="",H153="",P153="",AND(OR(H153="First contact",H153="Reply",H153="Positive reply",H153="Permission confirmed"),D153=""),AND(OR(H153="First contact",H153="Permission confirmed"),OR(T153&lt;&gt;"Reviewed and confirmed",U153="",V153="")),AND(H153="Fit qualified",OR(J153&lt;&gt;"Qualified",K153="",M153="",N153="",NOT(ISNUMBER(O153)))),AND(H153="Route recommended",K153=""),AND(OR(H153="Objection",H153="No fit",H153="Lost"),L153="")),"Incomplete","Ready")))</x:f>
      </x:c>
      <x:c r="T153" s="42"/>
      <x:c r="U153" s="42"/>
      <x:c r="V153" s="42"/>
    </x:row>
    <x:row r="154" ht="23" customHeight="1">
      <x:c r="A154" s="42"/>
      <x:c r="B154" s="43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3"/>
      <x:c r="P154" s="42"/>
      <x:c r="Q154" s="44" t="str">
        <x:f>IF(A154="","",IF(OR(H154="First contact",H154="Reply",H154="Positive reply",H154="Permission confirmed"),"C|"&amp;D154&amp;"|"&amp;H154,"O|"&amp;C154&amp;"|"&amp;H154))</x:f>
      </x:c>
      <x:c r="R154" s="44" t="str">
        <x:f>IF(A154="","",IF(S154&lt;&gt;"Ready","Incomplete",IF(COUNTIFS($Q$8:$Q$257,Q154,$S$8:$S$257,"Ready",$B$8:$B$257,"&lt;"&amp;B154)&gt;0,0,IF(COUNTIFS($Q$8:Q154,Q154,$S$8:S154,"Ready",$B$8:B154,B154)=1,1,0))))</x:f>
      </x:c>
      <x:c r="S154" s="44" t="str">
        <x:f>IF(A154="","",IF(COUNTIFS($A$8:$A$257,A154)&gt;1,"Duplicate ID",IF(OR(NOT(ISNUMBER(B154)),C154="",E154="",H154="",P154="",AND(OR(H154="First contact",H154="Reply",H154="Positive reply",H154="Permission confirmed"),D154=""),AND(OR(H154="First contact",H154="Permission confirmed"),OR(T154&lt;&gt;"Reviewed and confirmed",U154="",V154="")),AND(H154="Fit qualified",OR(J154&lt;&gt;"Qualified",K154="",M154="",N154="",NOT(ISNUMBER(O154)))),AND(H154="Route recommended",K154=""),AND(OR(H154="Objection",H154="No fit",H154="Lost"),L154="")),"Incomplete","Ready")))</x:f>
      </x:c>
      <x:c r="T154" s="42"/>
      <x:c r="U154" s="42"/>
      <x:c r="V154" s="42"/>
    </x:row>
    <x:row r="155" ht="23" customHeight="1">
      <x:c r="A155" s="42"/>
      <x:c r="B155" s="43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3"/>
      <x:c r="P155" s="42"/>
      <x:c r="Q155" s="44" t="str">
        <x:f>IF(A155="","",IF(OR(H155="First contact",H155="Reply",H155="Positive reply",H155="Permission confirmed"),"C|"&amp;D155&amp;"|"&amp;H155,"O|"&amp;C155&amp;"|"&amp;H155))</x:f>
      </x:c>
      <x:c r="R155" s="44" t="str">
        <x:f>IF(A155="","",IF(S155&lt;&gt;"Ready","Incomplete",IF(COUNTIFS($Q$8:$Q$257,Q155,$S$8:$S$257,"Ready",$B$8:$B$257,"&lt;"&amp;B155)&gt;0,0,IF(COUNTIFS($Q$8:Q155,Q155,$S$8:S155,"Ready",$B$8:B155,B155)=1,1,0))))</x:f>
      </x:c>
      <x:c r="S155" s="44" t="str">
        <x:f>IF(A155="","",IF(COUNTIFS($A$8:$A$257,A155)&gt;1,"Duplicate ID",IF(OR(NOT(ISNUMBER(B155)),C155="",E155="",H155="",P155="",AND(OR(H155="First contact",H155="Reply",H155="Positive reply",H155="Permission confirmed"),D155=""),AND(OR(H155="First contact",H155="Permission confirmed"),OR(T155&lt;&gt;"Reviewed and confirmed",U155="",V155="")),AND(H155="Fit qualified",OR(J155&lt;&gt;"Qualified",K155="",M155="",N155="",NOT(ISNUMBER(O155)))),AND(H155="Route recommended",K155=""),AND(OR(H155="Objection",H155="No fit",H155="Lost"),L155="")),"Incomplete","Ready")))</x:f>
      </x:c>
      <x:c r="T155" s="42"/>
      <x:c r="U155" s="42"/>
      <x:c r="V155" s="42"/>
    </x:row>
    <x:row r="156" ht="23" customHeight="1">
      <x:c r="A156" s="42"/>
      <x:c r="B156" s="43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3"/>
      <x:c r="P156" s="42"/>
      <x:c r="Q156" s="44" t="str">
        <x:f>IF(A156="","",IF(OR(H156="First contact",H156="Reply",H156="Positive reply",H156="Permission confirmed"),"C|"&amp;D156&amp;"|"&amp;H156,"O|"&amp;C156&amp;"|"&amp;H156))</x:f>
      </x:c>
      <x:c r="R156" s="44" t="str">
        <x:f>IF(A156="","",IF(S156&lt;&gt;"Ready","Incomplete",IF(COUNTIFS($Q$8:$Q$257,Q156,$S$8:$S$257,"Ready",$B$8:$B$257,"&lt;"&amp;B156)&gt;0,0,IF(COUNTIFS($Q$8:Q156,Q156,$S$8:S156,"Ready",$B$8:B156,B156)=1,1,0))))</x:f>
      </x:c>
      <x:c r="S156" s="44" t="str">
        <x:f>IF(A156="","",IF(COUNTIFS($A$8:$A$257,A156)&gt;1,"Duplicate ID",IF(OR(NOT(ISNUMBER(B156)),C156="",E156="",H156="",P156="",AND(OR(H156="First contact",H156="Reply",H156="Positive reply",H156="Permission confirmed"),D156=""),AND(OR(H156="First contact",H156="Permission confirmed"),OR(T156&lt;&gt;"Reviewed and confirmed",U156="",V156="")),AND(H156="Fit qualified",OR(J156&lt;&gt;"Qualified",K156="",M156="",N156="",NOT(ISNUMBER(O156)))),AND(H156="Route recommended",K156=""),AND(OR(H156="Objection",H156="No fit",H156="Lost"),L156="")),"Incomplete","Ready")))</x:f>
      </x:c>
      <x:c r="T156" s="42"/>
      <x:c r="U156" s="42"/>
      <x:c r="V156" s="42"/>
    </x:row>
    <x:row r="157" ht="23" customHeight="1">
      <x:c r="A157" s="42"/>
      <x:c r="B157" s="43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3"/>
      <x:c r="P157" s="42"/>
      <x:c r="Q157" s="44" t="str">
        <x:f>IF(A157="","",IF(OR(H157="First contact",H157="Reply",H157="Positive reply",H157="Permission confirmed"),"C|"&amp;D157&amp;"|"&amp;H157,"O|"&amp;C157&amp;"|"&amp;H157))</x:f>
      </x:c>
      <x:c r="R157" s="44" t="str">
        <x:f>IF(A157="","",IF(S157&lt;&gt;"Ready","Incomplete",IF(COUNTIFS($Q$8:$Q$257,Q157,$S$8:$S$257,"Ready",$B$8:$B$257,"&lt;"&amp;B157)&gt;0,0,IF(COUNTIFS($Q$8:Q157,Q157,$S$8:S157,"Ready",$B$8:B157,B157)=1,1,0))))</x:f>
      </x:c>
      <x:c r="S157" s="44" t="str">
        <x:f>IF(A157="","",IF(COUNTIFS($A$8:$A$257,A157)&gt;1,"Duplicate ID",IF(OR(NOT(ISNUMBER(B157)),C157="",E157="",H157="",P157="",AND(OR(H157="First contact",H157="Reply",H157="Positive reply",H157="Permission confirmed"),D157=""),AND(OR(H157="First contact",H157="Permission confirmed"),OR(T157&lt;&gt;"Reviewed and confirmed",U157="",V157="")),AND(H157="Fit qualified",OR(J157&lt;&gt;"Qualified",K157="",M157="",N157="",NOT(ISNUMBER(O157)))),AND(H157="Route recommended",K157=""),AND(OR(H157="Objection",H157="No fit",H157="Lost"),L157="")),"Incomplete","Ready")))</x:f>
      </x:c>
      <x:c r="T157" s="42"/>
      <x:c r="U157" s="42"/>
      <x:c r="V157" s="42"/>
    </x:row>
    <x:row r="158" ht="23" customHeight="1">
      <x:c r="A158" s="42"/>
      <x:c r="B158" s="43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3"/>
      <x:c r="P158" s="42"/>
      <x:c r="Q158" s="44" t="str">
        <x:f>IF(A158="","",IF(OR(H158="First contact",H158="Reply",H158="Positive reply",H158="Permission confirmed"),"C|"&amp;D158&amp;"|"&amp;H158,"O|"&amp;C158&amp;"|"&amp;H158))</x:f>
      </x:c>
      <x:c r="R158" s="44" t="str">
        <x:f>IF(A158="","",IF(S158&lt;&gt;"Ready","Incomplete",IF(COUNTIFS($Q$8:$Q$257,Q158,$S$8:$S$257,"Ready",$B$8:$B$257,"&lt;"&amp;B158)&gt;0,0,IF(COUNTIFS($Q$8:Q158,Q158,$S$8:S158,"Ready",$B$8:B158,B158)=1,1,0))))</x:f>
      </x:c>
      <x:c r="S158" s="44" t="str">
        <x:f>IF(A158="","",IF(COUNTIFS($A$8:$A$257,A158)&gt;1,"Duplicate ID",IF(OR(NOT(ISNUMBER(B158)),C158="",E158="",H158="",P158="",AND(OR(H158="First contact",H158="Reply",H158="Positive reply",H158="Permission confirmed"),D158=""),AND(OR(H158="First contact",H158="Permission confirmed"),OR(T158&lt;&gt;"Reviewed and confirmed",U158="",V158="")),AND(H158="Fit qualified",OR(J158&lt;&gt;"Qualified",K158="",M158="",N158="",NOT(ISNUMBER(O158)))),AND(H158="Route recommended",K158=""),AND(OR(H158="Objection",H158="No fit",H158="Lost"),L158="")),"Incomplete","Ready")))</x:f>
      </x:c>
      <x:c r="T158" s="42"/>
      <x:c r="U158" s="42"/>
      <x:c r="V158" s="42"/>
    </x:row>
    <x:row r="159" ht="23" customHeight="1">
      <x:c r="A159" s="42"/>
      <x:c r="B159" s="43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3"/>
      <x:c r="P159" s="42"/>
      <x:c r="Q159" s="44" t="str">
        <x:f>IF(A159="","",IF(OR(H159="First contact",H159="Reply",H159="Positive reply",H159="Permission confirmed"),"C|"&amp;D159&amp;"|"&amp;H159,"O|"&amp;C159&amp;"|"&amp;H159))</x:f>
      </x:c>
      <x:c r="R159" s="44" t="str">
        <x:f>IF(A159="","",IF(S159&lt;&gt;"Ready","Incomplete",IF(COUNTIFS($Q$8:$Q$257,Q159,$S$8:$S$257,"Ready",$B$8:$B$257,"&lt;"&amp;B159)&gt;0,0,IF(COUNTIFS($Q$8:Q159,Q159,$S$8:S159,"Ready",$B$8:B159,B159)=1,1,0))))</x:f>
      </x:c>
      <x:c r="S159" s="44" t="str">
        <x:f>IF(A159="","",IF(COUNTIFS($A$8:$A$257,A159)&gt;1,"Duplicate ID",IF(OR(NOT(ISNUMBER(B159)),C159="",E159="",H159="",P159="",AND(OR(H159="First contact",H159="Reply",H159="Positive reply",H159="Permission confirmed"),D159=""),AND(OR(H159="First contact",H159="Permission confirmed"),OR(T159&lt;&gt;"Reviewed and confirmed",U159="",V159="")),AND(H159="Fit qualified",OR(J159&lt;&gt;"Qualified",K159="",M159="",N159="",NOT(ISNUMBER(O159)))),AND(H159="Route recommended",K159=""),AND(OR(H159="Objection",H159="No fit",H159="Lost"),L159="")),"Incomplete","Ready")))</x:f>
      </x:c>
      <x:c r="T159" s="42"/>
      <x:c r="U159" s="42"/>
      <x:c r="V159" s="42"/>
    </x:row>
    <x:row r="160" ht="23" customHeight="1">
      <x:c r="A160" s="42"/>
      <x:c r="B160" s="43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3"/>
      <x:c r="P160" s="42"/>
      <x:c r="Q160" s="44" t="str">
        <x:f>IF(A160="","",IF(OR(H160="First contact",H160="Reply",H160="Positive reply",H160="Permission confirmed"),"C|"&amp;D160&amp;"|"&amp;H160,"O|"&amp;C160&amp;"|"&amp;H160))</x:f>
      </x:c>
      <x:c r="R160" s="44" t="str">
        <x:f>IF(A160="","",IF(S160&lt;&gt;"Ready","Incomplete",IF(COUNTIFS($Q$8:$Q$257,Q160,$S$8:$S$257,"Ready",$B$8:$B$257,"&lt;"&amp;B160)&gt;0,0,IF(COUNTIFS($Q$8:Q160,Q160,$S$8:S160,"Ready",$B$8:B160,B160)=1,1,0))))</x:f>
      </x:c>
      <x:c r="S160" s="44" t="str">
        <x:f>IF(A160="","",IF(COUNTIFS($A$8:$A$257,A160)&gt;1,"Duplicate ID",IF(OR(NOT(ISNUMBER(B160)),C160="",E160="",H160="",P160="",AND(OR(H160="First contact",H160="Reply",H160="Positive reply",H160="Permission confirmed"),D160=""),AND(OR(H160="First contact",H160="Permission confirmed"),OR(T160&lt;&gt;"Reviewed and confirmed",U160="",V160="")),AND(H160="Fit qualified",OR(J160&lt;&gt;"Qualified",K160="",M160="",N160="",NOT(ISNUMBER(O160)))),AND(H160="Route recommended",K160=""),AND(OR(H160="Objection",H160="No fit",H160="Lost"),L160="")),"Incomplete","Ready")))</x:f>
      </x:c>
      <x:c r="T160" s="42"/>
      <x:c r="U160" s="42"/>
      <x:c r="V160" s="42"/>
    </x:row>
    <x:row r="161" ht="23" customHeight="1">
      <x:c r="A161" s="42"/>
      <x:c r="B161" s="43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3"/>
      <x:c r="P161" s="42"/>
      <x:c r="Q161" s="44" t="str">
        <x:f>IF(A161="","",IF(OR(H161="First contact",H161="Reply",H161="Positive reply",H161="Permission confirmed"),"C|"&amp;D161&amp;"|"&amp;H161,"O|"&amp;C161&amp;"|"&amp;H161))</x:f>
      </x:c>
      <x:c r="R161" s="44" t="str">
        <x:f>IF(A161="","",IF(S161&lt;&gt;"Ready","Incomplete",IF(COUNTIFS($Q$8:$Q$257,Q161,$S$8:$S$257,"Ready",$B$8:$B$257,"&lt;"&amp;B161)&gt;0,0,IF(COUNTIFS($Q$8:Q161,Q161,$S$8:S161,"Ready",$B$8:B161,B161)=1,1,0))))</x:f>
      </x:c>
      <x:c r="S161" s="44" t="str">
        <x:f>IF(A161="","",IF(COUNTIFS($A$8:$A$257,A161)&gt;1,"Duplicate ID",IF(OR(NOT(ISNUMBER(B161)),C161="",E161="",H161="",P161="",AND(OR(H161="First contact",H161="Reply",H161="Positive reply",H161="Permission confirmed"),D161=""),AND(OR(H161="First contact",H161="Permission confirmed"),OR(T161&lt;&gt;"Reviewed and confirmed",U161="",V161="")),AND(H161="Fit qualified",OR(J161&lt;&gt;"Qualified",K161="",M161="",N161="",NOT(ISNUMBER(O161)))),AND(H161="Route recommended",K161=""),AND(OR(H161="Objection",H161="No fit",H161="Lost"),L161="")),"Incomplete","Ready")))</x:f>
      </x:c>
      <x:c r="T161" s="42"/>
      <x:c r="U161" s="42"/>
      <x:c r="V161" s="42"/>
    </x:row>
    <x:row r="162" ht="23" customHeight="1">
      <x:c r="A162" s="42"/>
      <x:c r="B162" s="43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3"/>
      <x:c r="P162" s="42"/>
      <x:c r="Q162" s="44" t="str">
        <x:f>IF(A162="","",IF(OR(H162="First contact",H162="Reply",H162="Positive reply",H162="Permission confirmed"),"C|"&amp;D162&amp;"|"&amp;H162,"O|"&amp;C162&amp;"|"&amp;H162))</x:f>
      </x:c>
      <x:c r="R162" s="44" t="str">
        <x:f>IF(A162="","",IF(S162&lt;&gt;"Ready","Incomplete",IF(COUNTIFS($Q$8:$Q$257,Q162,$S$8:$S$257,"Ready",$B$8:$B$257,"&lt;"&amp;B162)&gt;0,0,IF(COUNTIFS($Q$8:Q162,Q162,$S$8:S162,"Ready",$B$8:B162,B162)=1,1,0))))</x:f>
      </x:c>
      <x:c r="S162" s="44" t="str">
        <x:f>IF(A162="","",IF(COUNTIFS($A$8:$A$257,A162)&gt;1,"Duplicate ID",IF(OR(NOT(ISNUMBER(B162)),C162="",E162="",H162="",P162="",AND(OR(H162="First contact",H162="Reply",H162="Positive reply",H162="Permission confirmed"),D162=""),AND(OR(H162="First contact",H162="Permission confirmed"),OR(T162&lt;&gt;"Reviewed and confirmed",U162="",V162="")),AND(H162="Fit qualified",OR(J162&lt;&gt;"Qualified",K162="",M162="",N162="",NOT(ISNUMBER(O162)))),AND(H162="Route recommended",K162=""),AND(OR(H162="Objection",H162="No fit",H162="Lost"),L162="")),"Incomplete","Ready")))</x:f>
      </x:c>
      <x:c r="T162" s="42"/>
      <x:c r="U162" s="42"/>
      <x:c r="V162" s="42"/>
    </x:row>
    <x:row r="163" ht="23" customHeight="1">
      <x:c r="A163" s="42"/>
      <x:c r="B163" s="43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3"/>
      <x:c r="P163" s="42"/>
      <x:c r="Q163" s="44" t="str">
        <x:f>IF(A163="","",IF(OR(H163="First contact",H163="Reply",H163="Positive reply",H163="Permission confirmed"),"C|"&amp;D163&amp;"|"&amp;H163,"O|"&amp;C163&amp;"|"&amp;H163))</x:f>
      </x:c>
      <x:c r="R163" s="44" t="str">
        <x:f>IF(A163="","",IF(S163&lt;&gt;"Ready","Incomplete",IF(COUNTIFS($Q$8:$Q$257,Q163,$S$8:$S$257,"Ready",$B$8:$B$257,"&lt;"&amp;B163)&gt;0,0,IF(COUNTIFS($Q$8:Q163,Q163,$S$8:S163,"Ready",$B$8:B163,B163)=1,1,0))))</x:f>
      </x:c>
      <x:c r="S163" s="44" t="str">
        <x:f>IF(A163="","",IF(COUNTIFS($A$8:$A$257,A163)&gt;1,"Duplicate ID",IF(OR(NOT(ISNUMBER(B163)),C163="",E163="",H163="",P163="",AND(OR(H163="First contact",H163="Reply",H163="Positive reply",H163="Permission confirmed"),D163=""),AND(OR(H163="First contact",H163="Permission confirmed"),OR(T163&lt;&gt;"Reviewed and confirmed",U163="",V163="")),AND(H163="Fit qualified",OR(J163&lt;&gt;"Qualified",K163="",M163="",N163="",NOT(ISNUMBER(O163)))),AND(H163="Route recommended",K163=""),AND(OR(H163="Objection",H163="No fit",H163="Lost"),L163="")),"Incomplete","Ready")))</x:f>
      </x:c>
      <x:c r="T163" s="42"/>
      <x:c r="U163" s="42"/>
      <x:c r="V163" s="42"/>
    </x:row>
    <x:row r="164" ht="23" customHeight="1">
      <x:c r="A164" s="42"/>
      <x:c r="B164" s="43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3"/>
      <x:c r="P164" s="42"/>
      <x:c r="Q164" s="44" t="str">
        <x:f>IF(A164="","",IF(OR(H164="First contact",H164="Reply",H164="Positive reply",H164="Permission confirmed"),"C|"&amp;D164&amp;"|"&amp;H164,"O|"&amp;C164&amp;"|"&amp;H164))</x:f>
      </x:c>
      <x:c r="R164" s="44" t="str">
        <x:f>IF(A164="","",IF(S164&lt;&gt;"Ready","Incomplete",IF(COUNTIFS($Q$8:$Q$257,Q164,$S$8:$S$257,"Ready",$B$8:$B$257,"&lt;"&amp;B164)&gt;0,0,IF(COUNTIFS($Q$8:Q164,Q164,$S$8:S164,"Ready",$B$8:B164,B164)=1,1,0))))</x:f>
      </x:c>
      <x:c r="S164" s="44" t="str">
        <x:f>IF(A164="","",IF(COUNTIFS($A$8:$A$257,A164)&gt;1,"Duplicate ID",IF(OR(NOT(ISNUMBER(B164)),C164="",E164="",H164="",P164="",AND(OR(H164="First contact",H164="Reply",H164="Positive reply",H164="Permission confirmed"),D164=""),AND(OR(H164="First contact",H164="Permission confirmed"),OR(T164&lt;&gt;"Reviewed and confirmed",U164="",V164="")),AND(H164="Fit qualified",OR(J164&lt;&gt;"Qualified",K164="",M164="",N164="",NOT(ISNUMBER(O164)))),AND(H164="Route recommended",K164=""),AND(OR(H164="Objection",H164="No fit",H164="Lost"),L164="")),"Incomplete","Ready")))</x:f>
      </x:c>
      <x:c r="T164" s="42"/>
      <x:c r="U164" s="42"/>
      <x:c r="V164" s="42"/>
    </x:row>
    <x:row r="165" ht="23" customHeight="1">
      <x:c r="A165" s="42"/>
      <x:c r="B165" s="43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3"/>
      <x:c r="P165" s="42"/>
      <x:c r="Q165" s="44" t="str">
        <x:f>IF(A165="","",IF(OR(H165="First contact",H165="Reply",H165="Positive reply",H165="Permission confirmed"),"C|"&amp;D165&amp;"|"&amp;H165,"O|"&amp;C165&amp;"|"&amp;H165))</x:f>
      </x:c>
      <x:c r="R165" s="44" t="str">
        <x:f>IF(A165="","",IF(S165&lt;&gt;"Ready","Incomplete",IF(COUNTIFS($Q$8:$Q$257,Q165,$S$8:$S$257,"Ready",$B$8:$B$257,"&lt;"&amp;B165)&gt;0,0,IF(COUNTIFS($Q$8:Q165,Q165,$S$8:S165,"Ready",$B$8:B165,B165)=1,1,0))))</x:f>
      </x:c>
      <x:c r="S165" s="44" t="str">
        <x:f>IF(A165="","",IF(COUNTIFS($A$8:$A$257,A165)&gt;1,"Duplicate ID",IF(OR(NOT(ISNUMBER(B165)),C165="",E165="",H165="",P165="",AND(OR(H165="First contact",H165="Reply",H165="Positive reply",H165="Permission confirmed"),D165=""),AND(OR(H165="First contact",H165="Permission confirmed"),OR(T165&lt;&gt;"Reviewed and confirmed",U165="",V165="")),AND(H165="Fit qualified",OR(J165&lt;&gt;"Qualified",K165="",M165="",N165="",NOT(ISNUMBER(O165)))),AND(H165="Route recommended",K165=""),AND(OR(H165="Objection",H165="No fit",H165="Lost"),L165="")),"Incomplete","Ready")))</x:f>
      </x:c>
      <x:c r="T165" s="42"/>
      <x:c r="U165" s="42"/>
      <x:c r="V165" s="42"/>
    </x:row>
    <x:row r="166" ht="23" customHeight="1">
      <x:c r="A166" s="42"/>
      <x:c r="B166" s="43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3"/>
      <x:c r="P166" s="42"/>
      <x:c r="Q166" s="44" t="str">
        <x:f>IF(A166="","",IF(OR(H166="First contact",H166="Reply",H166="Positive reply",H166="Permission confirmed"),"C|"&amp;D166&amp;"|"&amp;H166,"O|"&amp;C166&amp;"|"&amp;H166))</x:f>
      </x:c>
      <x:c r="R166" s="44" t="str">
        <x:f>IF(A166="","",IF(S166&lt;&gt;"Ready","Incomplete",IF(COUNTIFS($Q$8:$Q$257,Q166,$S$8:$S$257,"Ready",$B$8:$B$257,"&lt;"&amp;B166)&gt;0,0,IF(COUNTIFS($Q$8:Q166,Q166,$S$8:S166,"Ready",$B$8:B166,B166)=1,1,0))))</x:f>
      </x:c>
      <x:c r="S166" s="44" t="str">
        <x:f>IF(A166="","",IF(COUNTIFS($A$8:$A$257,A166)&gt;1,"Duplicate ID",IF(OR(NOT(ISNUMBER(B166)),C166="",E166="",H166="",P166="",AND(OR(H166="First contact",H166="Reply",H166="Positive reply",H166="Permission confirmed"),D166=""),AND(OR(H166="First contact",H166="Permission confirmed"),OR(T166&lt;&gt;"Reviewed and confirmed",U166="",V166="")),AND(H166="Fit qualified",OR(J166&lt;&gt;"Qualified",K166="",M166="",N166="",NOT(ISNUMBER(O166)))),AND(H166="Route recommended",K166=""),AND(OR(H166="Objection",H166="No fit",H166="Lost"),L166="")),"Incomplete","Ready")))</x:f>
      </x:c>
      <x:c r="T166" s="42"/>
      <x:c r="U166" s="42"/>
      <x:c r="V166" s="42"/>
    </x:row>
    <x:row r="167" ht="23" customHeight="1">
      <x:c r="A167" s="42"/>
      <x:c r="B167" s="43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3"/>
      <x:c r="P167" s="42"/>
      <x:c r="Q167" s="44" t="str">
        <x:f>IF(A167="","",IF(OR(H167="First contact",H167="Reply",H167="Positive reply",H167="Permission confirmed"),"C|"&amp;D167&amp;"|"&amp;H167,"O|"&amp;C167&amp;"|"&amp;H167))</x:f>
      </x:c>
      <x:c r="R167" s="44" t="str">
        <x:f>IF(A167="","",IF(S167&lt;&gt;"Ready","Incomplete",IF(COUNTIFS($Q$8:$Q$257,Q167,$S$8:$S$257,"Ready",$B$8:$B$257,"&lt;"&amp;B167)&gt;0,0,IF(COUNTIFS($Q$8:Q167,Q167,$S$8:S167,"Ready",$B$8:B167,B167)=1,1,0))))</x:f>
      </x:c>
      <x:c r="S167" s="44" t="str">
        <x:f>IF(A167="","",IF(COUNTIFS($A$8:$A$257,A167)&gt;1,"Duplicate ID",IF(OR(NOT(ISNUMBER(B167)),C167="",E167="",H167="",P167="",AND(OR(H167="First contact",H167="Reply",H167="Positive reply",H167="Permission confirmed"),D167=""),AND(OR(H167="First contact",H167="Permission confirmed"),OR(T167&lt;&gt;"Reviewed and confirmed",U167="",V167="")),AND(H167="Fit qualified",OR(J167&lt;&gt;"Qualified",K167="",M167="",N167="",NOT(ISNUMBER(O167)))),AND(H167="Route recommended",K167=""),AND(OR(H167="Objection",H167="No fit",H167="Lost"),L167="")),"Incomplete","Ready")))</x:f>
      </x:c>
      <x:c r="T167" s="42"/>
      <x:c r="U167" s="42"/>
      <x:c r="V167" s="42"/>
    </x:row>
    <x:row r="168" ht="23" customHeight="1">
      <x:c r="A168" s="42"/>
      <x:c r="B168" s="43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3"/>
      <x:c r="P168" s="42"/>
      <x:c r="Q168" s="44" t="str">
        <x:f>IF(A168="","",IF(OR(H168="First contact",H168="Reply",H168="Positive reply",H168="Permission confirmed"),"C|"&amp;D168&amp;"|"&amp;H168,"O|"&amp;C168&amp;"|"&amp;H168))</x:f>
      </x:c>
      <x:c r="R168" s="44" t="str">
        <x:f>IF(A168="","",IF(S168&lt;&gt;"Ready","Incomplete",IF(COUNTIFS($Q$8:$Q$257,Q168,$S$8:$S$257,"Ready",$B$8:$B$257,"&lt;"&amp;B168)&gt;0,0,IF(COUNTIFS($Q$8:Q168,Q168,$S$8:S168,"Ready",$B$8:B168,B168)=1,1,0))))</x:f>
      </x:c>
      <x:c r="S168" s="44" t="str">
        <x:f>IF(A168="","",IF(COUNTIFS($A$8:$A$257,A168)&gt;1,"Duplicate ID",IF(OR(NOT(ISNUMBER(B168)),C168="",E168="",H168="",P168="",AND(OR(H168="First contact",H168="Reply",H168="Positive reply",H168="Permission confirmed"),D168=""),AND(OR(H168="First contact",H168="Permission confirmed"),OR(T168&lt;&gt;"Reviewed and confirmed",U168="",V168="")),AND(H168="Fit qualified",OR(J168&lt;&gt;"Qualified",K168="",M168="",N168="",NOT(ISNUMBER(O168)))),AND(H168="Route recommended",K168=""),AND(OR(H168="Objection",H168="No fit",H168="Lost"),L168="")),"Incomplete","Ready")))</x:f>
      </x:c>
      <x:c r="T168" s="42"/>
      <x:c r="U168" s="42"/>
      <x:c r="V168" s="42"/>
    </x:row>
    <x:row r="169" ht="23" customHeight="1">
      <x:c r="A169" s="42"/>
      <x:c r="B169" s="43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3"/>
      <x:c r="P169" s="42"/>
      <x:c r="Q169" s="44" t="str">
        <x:f>IF(A169="","",IF(OR(H169="First contact",H169="Reply",H169="Positive reply",H169="Permission confirmed"),"C|"&amp;D169&amp;"|"&amp;H169,"O|"&amp;C169&amp;"|"&amp;H169))</x:f>
      </x:c>
      <x:c r="R169" s="44" t="str">
        <x:f>IF(A169="","",IF(S169&lt;&gt;"Ready","Incomplete",IF(COUNTIFS($Q$8:$Q$257,Q169,$S$8:$S$257,"Ready",$B$8:$B$257,"&lt;"&amp;B169)&gt;0,0,IF(COUNTIFS($Q$8:Q169,Q169,$S$8:S169,"Ready",$B$8:B169,B169)=1,1,0))))</x:f>
      </x:c>
      <x:c r="S169" s="44" t="str">
        <x:f>IF(A169="","",IF(COUNTIFS($A$8:$A$257,A169)&gt;1,"Duplicate ID",IF(OR(NOT(ISNUMBER(B169)),C169="",E169="",H169="",P169="",AND(OR(H169="First contact",H169="Reply",H169="Positive reply",H169="Permission confirmed"),D169=""),AND(OR(H169="First contact",H169="Permission confirmed"),OR(T169&lt;&gt;"Reviewed and confirmed",U169="",V169="")),AND(H169="Fit qualified",OR(J169&lt;&gt;"Qualified",K169="",M169="",N169="",NOT(ISNUMBER(O169)))),AND(H169="Route recommended",K169=""),AND(OR(H169="Objection",H169="No fit",H169="Lost"),L169="")),"Incomplete","Ready")))</x:f>
      </x:c>
      <x:c r="T169" s="42"/>
      <x:c r="U169" s="42"/>
      <x:c r="V169" s="42"/>
    </x:row>
    <x:row r="170" ht="23" customHeight="1">
      <x:c r="A170" s="42"/>
      <x:c r="B170" s="43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3"/>
      <x:c r="P170" s="42"/>
      <x:c r="Q170" s="44" t="str">
        <x:f>IF(A170="","",IF(OR(H170="First contact",H170="Reply",H170="Positive reply",H170="Permission confirmed"),"C|"&amp;D170&amp;"|"&amp;H170,"O|"&amp;C170&amp;"|"&amp;H170))</x:f>
      </x:c>
      <x:c r="R170" s="44" t="str">
        <x:f>IF(A170="","",IF(S170&lt;&gt;"Ready","Incomplete",IF(COUNTIFS($Q$8:$Q$257,Q170,$S$8:$S$257,"Ready",$B$8:$B$257,"&lt;"&amp;B170)&gt;0,0,IF(COUNTIFS($Q$8:Q170,Q170,$S$8:S170,"Ready",$B$8:B170,B170)=1,1,0))))</x:f>
      </x:c>
      <x:c r="S170" s="44" t="str">
        <x:f>IF(A170="","",IF(COUNTIFS($A$8:$A$257,A170)&gt;1,"Duplicate ID",IF(OR(NOT(ISNUMBER(B170)),C170="",E170="",H170="",P170="",AND(OR(H170="First contact",H170="Reply",H170="Positive reply",H170="Permission confirmed"),D170=""),AND(OR(H170="First contact",H170="Permission confirmed"),OR(T170&lt;&gt;"Reviewed and confirmed",U170="",V170="")),AND(H170="Fit qualified",OR(J170&lt;&gt;"Qualified",K170="",M170="",N170="",NOT(ISNUMBER(O170)))),AND(H170="Route recommended",K170=""),AND(OR(H170="Objection",H170="No fit",H170="Lost"),L170="")),"Incomplete","Ready")))</x:f>
      </x:c>
      <x:c r="T170" s="42"/>
      <x:c r="U170" s="42"/>
      <x:c r="V170" s="42"/>
    </x:row>
    <x:row r="171" ht="23" customHeight="1">
      <x:c r="A171" s="42"/>
      <x:c r="B171" s="43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3"/>
      <x:c r="P171" s="42"/>
      <x:c r="Q171" s="44" t="str">
        <x:f>IF(A171="","",IF(OR(H171="First contact",H171="Reply",H171="Positive reply",H171="Permission confirmed"),"C|"&amp;D171&amp;"|"&amp;H171,"O|"&amp;C171&amp;"|"&amp;H171))</x:f>
      </x:c>
      <x:c r="R171" s="44" t="str">
        <x:f>IF(A171="","",IF(S171&lt;&gt;"Ready","Incomplete",IF(COUNTIFS($Q$8:$Q$257,Q171,$S$8:$S$257,"Ready",$B$8:$B$257,"&lt;"&amp;B171)&gt;0,0,IF(COUNTIFS($Q$8:Q171,Q171,$S$8:S171,"Ready",$B$8:B171,B171)=1,1,0))))</x:f>
      </x:c>
      <x:c r="S171" s="44" t="str">
        <x:f>IF(A171="","",IF(COUNTIFS($A$8:$A$257,A171)&gt;1,"Duplicate ID",IF(OR(NOT(ISNUMBER(B171)),C171="",E171="",H171="",P171="",AND(OR(H171="First contact",H171="Reply",H171="Positive reply",H171="Permission confirmed"),D171=""),AND(OR(H171="First contact",H171="Permission confirmed"),OR(T171&lt;&gt;"Reviewed and confirmed",U171="",V171="")),AND(H171="Fit qualified",OR(J171&lt;&gt;"Qualified",K171="",M171="",N171="",NOT(ISNUMBER(O171)))),AND(H171="Route recommended",K171=""),AND(OR(H171="Objection",H171="No fit",H171="Lost"),L171="")),"Incomplete","Ready")))</x:f>
      </x:c>
      <x:c r="T171" s="42"/>
      <x:c r="U171" s="42"/>
      <x:c r="V171" s="42"/>
    </x:row>
    <x:row r="172" ht="23" customHeight="1">
      <x:c r="A172" s="42"/>
      <x:c r="B172" s="43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3"/>
      <x:c r="P172" s="42"/>
      <x:c r="Q172" s="44" t="str">
        <x:f>IF(A172="","",IF(OR(H172="First contact",H172="Reply",H172="Positive reply",H172="Permission confirmed"),"C|"&amp;D172&amp;"|"&amp;H172,"O|"&amp;C172&amp;"|"&amp;H172))</x:f>
      </x:c>
      <x:c r="R172" s="44" t="str">
        <x:f>IF(A172="","",IF(S172&lt;&gt;"Ready","Incomplete",IF(COUNTIFS($Q$8:$Q$257,Q172,$S$8:$S$257,"Ready",$B$8:$B$257,"&lt;"&amp;B172)&gt;0,0,IF(COUNTIFS($Q$8:Q172,Q172,$S$8:S172,"Ready",$B$8:B172,B172)=1,1,0))))</x:f>
      </x:c>
      <x:c r="S172" s="44" t="str">
        <x:f>IF(A172="","",IF(COUNTIFS($A$8:$A$257,A172)&gt;1,"Duplicate ID",IF(OR(NOT(ISNUMBER(B172)),C172="",E172="",H172="",P172="",AND(OR(H172="First contact",H172="Reply",H172="Positive reply",H172="Permission confirmed"),D172=""),AND(OR(H172="First contact",H172="Permission confirmed"),OR(T172&lt;&gt;"Reviewed and confirmed",U172="",V172="")),AND(H172="Fit qualified",OR(J172&lt;&gt;"Qualified",K172="",M172="",N172="",NOT(ISNUMBER(O172)))),AND(H172="Route recommended",K172=""),AND(OR(H172="Objection",H172="No fit",H172="Lost"),L172="")),"Incomplete","Ready")))</x:f>
      </x:c>
      <x:c r="T172" s="42"/>
      <x:c r="U172" s="42"/>
      <x:c r="V172" s="42"/>
    </x:row>
    <x:row r="173" ht="23" customHeight="1">
      <x:c r="A173" s="42"/>
      <x:c r="B173" s="43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3"/>
      <x:c r="P173" s="42"/>
      <x:c r="Q173" s="44" t="str">
        <x:f>IF(A173="","",IF(OR(H173="First contact",H173="Reply",H173="Positive reply",H173="Permission confirmed"),"C|"&amp;D173&amp;"|"&amp;H173,"O|"&amp;C173&amp;"|"&amp;H173))</x:f>
      </x:c>
      <x:c r="R173" s="44" t="str">
        <x:f>IF(A173="","",IF(S173&lt;&gt;"Ready","Incomplete",IF(COUNTIFS($Q$8:$Q$257,Q173,$S$8:$S$257,"Ready",$B$8:$B$257,"&lt;"&amp;B173)&gt;0,0,IF(COUNTIFS($Q$8:Q173,Q173,$S$8:S173,"Ready",$B$8:B173,B173)=1,1,0))))</x:f>
      </x:c>
      <x:c r="S173" s="44" t="str">
        <x:f>IF(A173="","",IF(COUNTIFS($A$8:$A$257,A173)&gt;1,"Duplicate ID",IF(OR(NOT(ISNUMBER(B173)),C173="",E173="",H173="",P173="",AND(OR(H173="First contact",H173="Reply",H173="Positive reply",H173="Permission confirmed"),D173=""),AND(OR(H173="First contact",H173="Permission confirmed"),OR(T173&lt;&gt;"Reviewed and confirmed",U173="",V173="")),AND(H173="Fit qualified",OR(J173&lt;&gt;"Qualified",K173="",M173="",N173="",NOT(ISNUMBER(O173)))),AND(H173="Route recommended",K173=""),AND(OR(H173="Objection",H173="No fit",H173="Lost"),L173="")),"Incomplete","Ready")))</x:f>
      </x:c>
      <x:c r="T173" s="42"/>
      <x:c r="U173" s="42"/>
      <x:c r="V173" s="42"/>
    </x:row>
    <x:row r="174" ht="23" customHeight="1">
      <x:c r="A174" s="42"/>
      <x:c r="B174" s="43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3"/>
      <x:c r="P174" s="42"/>
      <x:c r="Q174" s="44" t="str">
        <x:f>IF(A174="","",IF(OR(H174="First contact",H174="Reply",H174="Positive reply",H174="Permission confirmed"),"C|"&amp;D174&amp;"|"&amp;H174,"O|"&amp;C174&amp;"|"&amp;H174))</x:f>
      </x:c>
      <x:c r="R174" s="44" t="str">
        <x:f>IF(A174="","",IF(S174&lt;&gt;"Ready","Incomplete",IF(COUNTIFS($Q$8:$Q$257,Q174,$S$8:$S$257,"Ready",$B$8:$B$257,"&lt;"&amp;B174)&gt;0,0,IF(COUNTIFS($Q$8:Q174,Q174,$S$8:S174,"Ready",$B$8:B174,B174)=1,1,0))))</x:f>
      </x:c>
      <x:c r="S174" s="44" t="str">
        <x:f>IF(A174="","",IF(COUNTIFS($A$8:$A$257,A174)&gt;1,"Duplicate ID",IF(OR(NOT(ISNUMBER(B174)),C174="",E174="",H174="",P174="",AND(OR(H174="First contact",H174="Reply",H174="Positive reply",H174="Permission confirmed"),D174=""),AND(OR(H174="First contact",H174="Permission confirmed"),OR(T174&lt;&gt;"Reviewed and confirmed",U174="",V174="")),AND(H174="Fit qualified",OR(J174&lt;&gt;"Qualified",K174="",M174="",N174="",NOT(ISNUMBER(O174)))),AND(H174="Route recommended",K174=""),AND(OR(H174="Objection",H174="No fit",H174="Lost"),L174="")),"Incomplete","Ready")))</x:f>
      </x:c>
      <x:c r="T174" s="42"/>
      <x:c r="U174" s="42"/>
      <x:c r="V174" s="42"/>
    </x:row>
    <x:row r="175" ht="23" customHeight="1">
      <x:c r="A175" s="42"/>
      <x:c r="B175" s="43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3"/>
      <x:c r="P175" s="42"/>
      <x:c r="Q175" s="44" t="str">
        <x:f>IF(A175="","",IF(OR(H175="First contact",H175="Reply",H175="Positive reply",H175="Permission confirmed"),"C|"&amp;D175&amp;"|"&amp;H175,"O|"&amp;C175&amp;"|"&amp;H175))</x:f>
      </x:c>
      <x:c r="R175" s="44" t="str">
        <x:f>IF(A175="","",IF(S175&lt;&gt;"Ready","Incomplete",IF(COUNTIFS($Q$8:$Q$257,Q175,$S$8:$S$257,"Ready",$B$8:$B$257,"&lt;"&amp;B175)&gt;0,0,IF(COUNTIFS($Q$8:Q175,Q175,$S$8:S175,"Ready",$B$8:B175,B175)=1,1,0))))</x:f>
      </x:c>
      <x:c r="S175" s="44" t="str">
        <x:f>IF(A175="","",IF(COUNTIFS($A$8:$A$257,A175)&gt;1,"Duplicate ID",IF(OR(NOT(ISNUMBER(B175)),C175="",E175="",H175="",P175="",AND(OR(H175="First contact",H175="Reply",H175="Positive reply",H175="Permission confirmed"),D175=""),AND(OR(H175="First contact",H175="Permission confirmed"),OR(T175&lt;&gt;"Reviewed and confirmed",U175="",V175="")),AND(H175="Fit qualified",OR(J175&lt;&gt;"Qualified",K175="",M175="",N175="",NOT(ISNUMBER(O175)))),AND(H175="Route recommended",K175=""),AND(OR(H175="Objection",H175="No fit",H175="Lost"),L175="")),"Incomplete","Ready")))</x:f>
      </x:c>
      <x:c r="T175" s="42"/>
      <x:c r="U175" s="42"/>
      <x:c r="V175" s="42"/>
    </x:row>
    <x:row r="176" ht="23" customHeight="1">
      <x:c r="A176" s="42"/>
      <x:c r="B176" s="43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3"/>
      <x:c r="P176" s="42"/>
      <x:c r="Q176" s="44" t="str">
        <x:f>IF(A176="","",IF(OR(H176="First contact",H176="Reply",H176="Positive reply",H176="Permission confirmed"),"C|"&amp;D176&amp;"|"&amp;H176,"O|"&amp;C176&amp;"|"&amp;H176))</x:f>
      </x:c>
      <x:c r="R176" s="44" t="str">
        <x:f>IF(A176="","",IF(S176&lt;&gt;"Ready","Incomplete",IF(COUNTIFS($Q$8:$Q$257,Q176,$S$8:$S$257,"Ready",$B$8:$B$257,"&lt;"&amp;B176)&gt;0,0,IF(COUNTIFS($Q$8:Q176,Q176,$S$8:S176,"Ready",$B$8:B176,B176)=1,1,0))))</x:f>
      </x:c>
      <x:c r="S176" s="44" t="str">
        <x:f>IF(A176="","",IF(COUNTIFS($A$8:$A$257,A176)&gt;1,"Duplicate ID",IF(OR(NOT(ISNUMBER(B176)),C176="",E176="",H176="",P176="",AND(OR(H176="First contact",H176="Reply",H176="Positive reply",H176="Permission confirmed"),D176=""),AND(OR(H176="First contact",H176="Permission confirmed"),OR(T176&lt;&gt;"Reviewed and confirmed",U176="",V176="")),AND(H176="Fit qualified",OR(J176&lt;&gt;"Qualified",K176="",M176="",N176="",NOT(ISNUMBER(O176)))),AND(H176="Route recommended",K176=""),AND(OR(H176="Objection",H176="No fit",H176="Lost"),L176="")),"Incomplete","Ready")))</x:f>
      </x:c>
      <x:c r="T176" s="42"/>
      <x:c r="U176" s="42"/>
      <x:c r="V176" s="42"/>
    </x:row>
    <x:row r="177" ht="23" customHeight="1">
      <x:c r="A177" s="42"/>
      <x:c r="B177" s="43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3"/>
      <x:c r="P177" s="42"/>
      <x:c r="Q177" s="44" t="str">
        <x:f>IF(A177="","",IF(OR(H177="First contact",H177="Reply",H177="Positive reply",H177="Permission confirmed"),"C|"&amp;D177&amp;"|"&amp;H177,"O|"&amp;C177&amp;"|"&amp;H177))</x:f>
      </x:c>
      <x:c r="R177" s="44" t="str">
        <x:f>IF(A177="","",IF(S177&lt;&gt;"Ready","Incomplete",IF(COUNTIFS($Q$8:$Q$257,Q177,$S$8:$S$257,"Ready",$B$8:$B$257,"&lt;"&amp;B177)&gt;0,0,IF(COUNTIFS($Q$8:Q177,Q177,$S$8:S177,"Ready",$B$8:B177,B177)=1,1,0))))</x:f>
      </x:c>
      <x:c r="S177" s="44" t="str">
        <x:f>IF(A177="","",IF(COUNTIFS($A$8:$A$257,A177)&gt;1,"Duplicate ID",IF(OR(NOT(ISNUMBER(B177)),C177="",E177="",H177="",P177="",AND(OR(H177="First contact",H177="Reply",H177="Positive reply",H177="Permission confirmed"),D177=""),AND(OR(H177="First contact",H177="Permission confirmed"),OR(T177&lt;&gt;"Reviewed and confirmed",U177="",V177="")),AND(H177="Fit qualified",OR(J177&lt;&gt;"Qualified",K177="",M177="",N177="",NOT(ISNUMBER(O177)))),AND(H177="Route recommended",K177=""),AND(OR(H177="Objection",H177="No fit",H177="Lost"),L177="")),"Incomplete","Ready")))</x:f>
      </x:c>
      <x:c r="T177" s="42"/>
      <x:c r="U177" s="42"/>
      <x:c r="V177" s="42"/>
    </x:row>
    <x:row r="178" ht="23" customHeight="1">
      <x:c r="A178" s="42"/>
      <x:c r="B178" s="43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3"/>
      <x:c r="P178" s="42"/>
      <x:c r="Q178" s="44" t="str">
        <x:f>IF(A178="","",IF(OR(H178="First contact",H178="Reply",H178="Positive reply",H178="Permission confirmed"),"C|"&amp;D178&amp;"|"&amp;H178,"O|"&amp;C178&amp;"|"&amp;H178))</x:f>
      </x:c>
      <x:c r="R178" s="44" t="str">
        <x:f>IF(A178="","",IF(S178&lt;&gt;"Ready","Incomplete",IF(COUNTIFS($Q$8:$Q$257,Q178,$S$8:$S$257,"Ready",$B$8:$B$257,"&lt;"&amp;B178)&gt;0,0,IF(COUNTIFS($Q$8:Q178,Q178,$S$8:S178,"Ready",$B$8:B178,B178)=1,1,0))))</x:f>
      </x:c>
      <x:c r="S178" s="44" t="str">
        <x:f>IF(A178="","",IF(COUNTIFS($A$8:$A$257,A178)&gt;1,"Duplicate ID",IF(OR(NOT(ISNUMBER(B178)),C178="",E178="",H178="",P178="",AND(OR(H178="First contact",H178="Reply",H178="Positive reply",H178="Permission confirmed"),D178=""),AND(OR(H178="First contact",H178="Permission confirmed"),OR(T178&lt;&gt;"Reviewed and confirmed",U178="",V178="")),AND(H178="Fit qualified",OR(J178&lt;&gt;"Qualified",K178="",M178="",N178="",NOT(ISNUMBER(O178)))),AND(H178="Route recommended",K178=""),AND(OR(H178="Objection",H178="No fit",H178="Lost"),L178="")),"Incomplete","Ready")))</x:f>
      </x:c>
      <x:c r="T178" s="42"/>
      <x:c r="U178" s="42"/>
      <x:c r="V178" s="42"/>
    </x:row>
    <x:row r="179" ht="23" customHeight="1">
      <x:c r="A179" s="42"/>
      <x:c r="B179" s="43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3"/>
      <x:c r="P179" s="42"/>
      <x:c r="Q179" s="44" t="str">
        <x:f>IF(A179="","",IF(OR(H179="First contact",H179="Reply",H179="Positive reply",H179="Permission confirmed"),"C|"&amp;D179&amp;"|"&amp;H179,"O|"&amp;C179&amp;"|"&amp;H179))</x:f>
      </x:c>
      <x:c r="R179" s="44" t="str">
        <x:f>IF(A179="","",IF(S179&lt;&gt;"Ready","Incomplete",IF(COUNTIFS($Q$8:$Q$257,Q179,$S$8:$S$257,"Ready",$B$8:$B$257,"&lt;"&amp;B179)&gt;0,0,IF(COUNTIFS($Q$8:Q179,Q179,$S$8:S179,"Ready",$B$8:B179,B179)=1,1,0))))</x:f>
      </x:c>
      <x:c r="S179" s="44" t="str">
        <x:f>IF(A179="","",IF(COUNTIFS($A$8:$A$257,A179)&gt;1,"Duplicate ID",IF(OR(NOT(ISNUMBER(B179)),C179="",E179="",H179="",P179="",AND(OR(H179="First contact",H179="Reply",H179="Positive reply",H179="Permission confirmed"),D179=""),AND(OR(H179="First contact",H179="Permission confirmed"),OR(T179&lt;&gt;"Reviewed and confirmed",U179="",V179="")),AND(H179="Fit qualified",OR(J179&lt;&gt;"Qualified",K179="",M179="",N179="",NOT(ISNUMBER(O179)))),AND(H179="Route recommended",K179=""),AND(OR(H179="Objection",H179="No fit",H179="Lost"),L179="")),"Incomplete","Ready")))</x:f>
      </x:c>
      <x:c r="T179" s="42"/>
      <x:c r="U179" s="42"/>
      <x:c r="V179" s="42"/>
    </x:row>
    <x:row r="180" ht="23" customHeight="1">
      <x:c r="A180" s="42"/>
      <x:c r="B180" s="43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3"/>
      <x:c r="P180" s="42"/>
      <x:c r="Q180" s="44" t="str">
        <x:f>IF(A180="","",IF(OR(H180="First contact",H180="Reply",H180="Positive reply",H180="Permission confirmed"),"C|"&amp;D180&amp;"|"&amp;H180,"O|"&amp;C180&amp;"|"&amp;H180))</x:f>
      </x:c>
      <x:c r="R180" s="44" t="str">
        <x:f>IF(A180="","",IF(S180&lt;&gt;"Ready","Incomplete",IF(COUNTIFS($Q$8:$Q$257,Q180,$S$8:$S$257,"Ready",$B$8:$B$257,"&lt;"&amp;B180)&gt;0,0,IF(COUNTIFS($Q$8:Q180,Q180,$S$8:S180,"Ready",$B$8:B180,B180)=1,1,0))))</x:f>
      </x:c>
      <x:c r="S180" s="44" t="str">
        <x:f>IF(A180="","",IF(COUNTIFS($A$8:$A$257,A180)&gt;1,"Duplicate ID",IF(OR(NOT(ISNUMBER(B180)),C180="",E180="",H180="",P180="",AND(OR(H180="First contact",H180="Reply",H180="Positive reply",H180="Permission confirmed"),D180=""),AND(OR(H180="First contact",H180="Permission confirmed"),OR(T180&lt;&gt;"Reviewed and confirmed",U180="",V180="")),AND(H180="Fit qualified",OR(J180&lt;&gt;"Qualified",K180="",M180="",N180="",NOT(ISNUMBER(O180)))),AND(H180="Route recommended",K180=""),AND(OR(H180="Objection",H180="No fit",H180="Lost"),L180="")),"Incomplete","Ready")))</x:f>
      </x:c>
      <x:c r="T180" s="42"/>
      <x:c r="U180" s="42"/>
      <x:c r="V180" s="42"/>
    </x:row>
    <x:row r="181" ht="23" customHeight="1">
      <x:c r="A181" s="42"/>
      <x:c r="B181" s="43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3"/>
      <x:c r="P181" s="42"/>
      <x:c r="Q181" s="44" t="str">
        <x:f>IF(A181="","",IF(OR(H181="First contact",H181="Reply",H181="Positive reply",H181="Permission confirmed"),"C|"&amp;D181&amp;"|"&amp;H181,"O|"&amp;C181&amp;"|"&amp;H181))</x:f>
      </x:c>
      <x:c r="R181" s="44" t="str">
        <x:f>IF(A181="","",IF(S181&lt;&gt;"Ready","Incomplete",IF(COUNTIFS($Q$8:$Q$257,Q181,$S$8:$S$257,"Ready",$B$8:$B$257,"&lt;"&amp;B181)&gt;0,0,IF(COUNTIFS($Q$8:Q181,Q181,$S$8:S181,"Ready",$B$8:B181,B181)=1,1,0))))</x:f>
      </x:c>
      <x:c r="S181" s="44" t="str">
        <x:f>IF(A181="","",IF(COUNTIFS($A$8:$A$257,A181)&gt;1,"Duplicate ID",IF(OR(NOT(ISNUMBER(B181)),C181="",E181="",H181="",P181="",AND(OR(H181="First contact",H181="Reply",H181="Positive reply",H181="Permission confirmed"),D181=""),AND(OR(H181="First contact",H181="Permission confirmed"),OR(T181&lt;&gt;"Reviewed and confirmed",U181="",V181="")),AND(H181="Fit qualified",OR(J181&lt;&gt;"Qualified",K181="",M181="",N181="",NOT(ISNUMBER(O181)))),AND(H181="Route recommended",K181=""),AND(OR(H181="Objection",H181="No fit",H181="Lost"),L181="")),"Incomplete","Ready")))</x:f>
      </x:c>
      <x:c r="T181" s="42"/>
      <x:c r="U181" s="42"/>
      <x:c r="V181" s="42"/>
    </x:row>
    <x:row r="182" ht="23" customHeight="1">
      <x:c r="A182" s="42"/>
      <x:c r="B182" s="43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3"/>
      <x:c r="P182" s="42"/>
      <x:c r="Q182" s="44" t="str">
        <x:f>IF(A182="","",IF(OR(H182="First contact",H182="Reply",H182="Positive reply",H182="Permission confirmed"),"C|"&amp;D182&amp;"|"&amp;H182,"O|"&amp;C182&amp;"|"&amp;H182))</x:f>
      </x:c>
      <x:c r="R182" s="44" t="str">
        <x:f>IF(A182="","",IF(S182&lt;&gt;"Ready","Incomplete",IF(COUNTIFS($Q$8:$Q$257,Q182,$S$8:$S$257,"Ready",$B$8:$B$257,"&lt;"&amp;B182)&gt;0,0,IF(COUNTIFS($Q$8:Q182,Q182,$S$8:S182,"Ready",$B$8:B182,B182)=1,1,0))))</x:f>
      </x:c>
      <x:c r="S182" s="44" t="str">
        <x:f>IF(A182="","",IF(COUNTIFS($A$8:$A$257,A182)&gt;1,"Duplicate ID",IF(OR(NOT(ISNUMBER(B182)),C182="",E182="",H182="",P182="",AND(OR(H182="First contact",H182="Reply",H182="Positive reply",H182="Permission confirmed"),D182=""),AND(OR(H182="First contact",H182="Permission confirmed"),OR(T182&lt;&gt;"Reviewed and confirmed",U182="",V182="")),AND(H182="Fit qualified",OR(J182&lt;&gt;"Qualified",K182="",M182="",N182="",NOT(ISNUMBER(O182)))),AND(H182="Route recommended",K182=""),AND(OR(H182="Objection",H182="No fit",H182="Lost"),L182="")),"Incomplete","Ready")))</x:f>
      </x:c>
      <x:c r="T182" s="42"/>
      <x:c r="U182" s="42"/>
      <x:c r="V182" s="42"/>
    </x:row>
    <x:row r="183" ht="23" customHeight="1">
      <x:c r="A183" s="42"/>
      <x:c r="B183" s="43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3"/>
      <x:c r="P183" s="42"/>
      <x:c r="Q183" s="44" t="str">
        <x:f>IF(A183="","",IF(OR(H183="First contact",H183="Reply",H183="Positive reply",H183="Permission confirmed"),"C|"&amp;D183&amp;"|"&amp;H183,"O|"&amp;C183&amp;"|"&amp;H183))</x:f>
      </x:c>
      <x:c r="R183" s="44" t="str">
        <x:f>IF(A183="","",IF(S183&lt;&gt;"Ready","Incomplete",IF(COUNTIFS($Q$8:$Q$257,Q183,$S$8:$S$257,"Ready",$B$8:$B$257,"&lt;"&amp;B183)&gt;0,0,IF(COUNTIFS($Q$8:Q183,Q183,$S$8:S183,"Ready",$B$8:B183,B183)=1,1,0))))</x:f>
      </x:c>
      <x:c r="S183" s="44" t="str">
        <x:f>IF(A183="","",IF(COUNTIFS($A$8:$A$257,A183)&gt;1,"Duplicate ID",IF(OR(NOT(ISNUMBER(B183)),C183="",E183="",H183="",P183="",AND(OR(H183="First contact",H183="Reply",H183="Positive reply",H183="Permission confirmed"),D183=""),AND(OR(H183="First contact",H183="Permission confirmed"),OR(T183&lt;&gt;"Reviewed and confirmed",U183="",V183="")),AND(H183="Fit qualified",OR(J183&lt;&gt;"Qualified",K183="",M183="",N183="",NOT(ISNUMBER(O183)))),AND(H183="Route recommended",K183=""),AND(OR(H183="Objection",H183="No fit",H183="Lost"),L183="")),"Incomplete","Ready")))</x:f>
      </x:c>
      <x:c r="T183" s="42"/>
      <x:c r="U183" s="42"/>
      <x:c r="V183" s="42"/>
    </x:row>
    <x:row r="184" ht="23" customHeight="1">
      <x:c r="A184" s="42"/>
      <x:c r="B184" s="43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3"/>
      <x:c r="P184" s="42"/>
      <x:c r="Q184" s="44" t="str">
        <x:f>IF(A184="","",IF(OR(H184="First contact",H184="Reply",H184="Positive reply",H184="Permission confirmed"),"C|"&amp;D184&amp;"|"&amp;H184,"O|"&amp;C184&amp;"|"&amp;H184))</x:f>
      </x:c>
      <x:c r="R184" s="44" t="str">
        <x:f>IF(A184="","",IF(S184&lt;&gt;"Ready","Incomplete",IF(COUNTIFS($Q$8:$Q$257,Q184,$S$8:$S$257,"Ready",$B$8:$B$257,"&lt;"&amp;B184)&gt;0,0,IF(COUNTIFS($Q$8:Q184,Q184,$S$8:S184,"Ready",$B$8:B184,B184)=1,1,0))))</x:f>
      </x:c>
      <x:c r="S184" s="44" t="str">
        <x:f>IF(A184="","",IF(COUNTIFS($A$8:$A$257,A184)&gt;1,"Duplicate ID",IF(OR(NOT(ISNUMBER(B184)),C184="",E184="",H184="",P184="",AND(OR(H184="First contact",H184="Reply",H184="Positive reply",H184="Permission confirmed"),D184=""),AND(OR(H184="First contact",H184="Permission confirmed"),OR(T184&lt;&gt;"Reviewed and confirmed",U184="",V184="")),AND(H184="Fit qualified",OR(J184&lt;&gt;"Qualified",K184="",M184="",N184="",NOT(ISNUMBER(O184)))),AND(H184="Route recommended",K184=""),AND(OR(H184="Objection",H184="No fit",H184="Lost"),L184="")),"Incomplete","Ready")))</x:f>
      </x:c>
      <x:c r="T184" s="42"/>
      <x:c r="U184" s="42"/>
      <x:c r="V184" s="42"/>
    </x:row>
    <x:row r="185" ht="23" customHeight="1">
      <x:c r="A185" s="42"/>
      <x:c r="B185" s="43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3"/>
      <x:c r="P185" s="42"/>
      <x:c r="Q185" s="44" t="str">
        <x:f>IF(A185="","",IF(OR(H185="First contact",H185="Reply",H185="Positive reply",H185="Permission confirmed"),"C|"&amp;D185&amp;"|"&amp;H185,"O|"&amp;C185&amp;"|"&amp;H185))</x:f>
      </x:c>
      <x:c r="R185" s="44" t="str">
        <x:f>IF(A185="","",IF(S185&lt;&gt;"Ready","Incomplete",IF(COUNTIFS($Q$8:$Q$257,Q185,$S$8:$S$257,"Ready",$B$8:$B$257,"&lt;"&amp;B185)&gt;0,0,IF(COUNTIFS($Q$8:Q185,Q185,$S$8:S185,"Ready",$B$8:B185,B185)=1,1,0))))</x:f>
      </x:c>
      <x:c r="S185" s="44" t="str">
        <x:f>IF(A185="","",IF(COUNTIFS($A$8:$A$257,A185)&gt;1,"Duplicate ID",IF(OR(NOT(ISNUMBER(B185)),C185="",E185="",H185="",P185="",AND(OR(H185="First contact",H185="Reply",H185="Positive reply",H185="Permission confirmed"),D185=""),AND(OR(H185="First contact",H185="Permission confirmed"),OR(T185&lt;&gt;"Reviewed and confirmed",U185="",V185="")),AND(H185="Fit qualified",OR(J185&lt;&gt;"Qualified",K185="",M185="",N185="",NOT(ISNUMBER(O185)))),AND(H185="Route recommended",K185=""),AND(OR(H185="Objection",H185="No fit",H185="Lost"),L185="")),"Incomplete","Ready")))</x:f>
      </x:c>
      <x:c r="T185" s="42"/>
      <x:c r="U185" s="42"/>
      <x:c r="V185" s="42"/>
    </x:row>
    <x:row r="186" ht="23" customHeight="1">
      <x:c r="A186" s="42"/>
      <x:c r="B186" s="43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3"/>
      <x:c r="P186" s="42"/>
      <x:c r="Q186" s="44" t="str">
        <x:f>IF(A186="","",IF(OR(H186="First contact",H186="Reply",H186="Positive reply",H186="Permission confirmed"),"C|"&amp;D186&amp;"|"&amp;H186,"O|"&amp;C186&amp;"|"&amp;H186))</x:f>
      </x:c>
      <x:c r="R186" s="44" t="str">
        <x:f>IF(A186="","",IF(S186&lt;&gt;"Ready","Incomplete",IF(COUNTIFS($Q$8:$Q$257,Q186,$S$8:$S$257,"Ready",$B$8:$B$257,"&lt;"&amp;B186)&gt;0,0,IF(COUNTIFS($Q$8:Q186,Q186,$S$8:S186,"Ready",$B$8:B186,B186)=1,1,0))))</x:f>
      </x:c>
      <x:c r="S186" s="44" t="str">
        <x:f>IF(A186="","",IF(COUNTIFS($A$8:$A$257,A186)&gt;1,"Duplicate ID",IF(OR(NOT(ISNUMBER(B186)),C186="",E186="",H186="",P186="",AND(OR(H186="First contact",H186="Reply",H186="Positive reply",H186="Permission confirmed"),D186=""),AND(OR(H186="First contact",H186="Permission confirmed"),OR(T186&lt;&gt;"Reviewed and confirmed",U186="",V186="")),AND(H186="Fit qualified",OR(J186&lt;&gt;"Qualified",K186="",M186="",N186="",NOT(ISNUMBER(O186)))),AND(H186="Route recommended",K186=""),AND(OR(H186="Objection",H186="No fit",H186="Lost"),L186="")),"Incomplete","Ready")))</x:f>
      </x:c>
      <x:c r="T186" s="42"/>
      <x:c r="U186" s="42"/>
      <x:c r="V186" s="42"/>
    </x:row>
    <x:row r="187" ht="23" customHeight="1">
      <x:c r="A187" s="42"/>
      <x:c r="B187" s="43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3"/>
      <x:c r="P187" s="42"/>
      <x:c r="Q187" s="44" t="str">
        <x:f>IF(A187="","",IF(OR(H187="First contact",H187="Reply",H187="Positive reply",H187="Permission confirmed"),"C|"&amp;D187&amp;"|"&amp;H187,"O|"&amp;C187&amp;"|"&amp;H187))</x:f>
      </x:c>
      <x:c r="R187" s="44" t="str">
        <x:f>IF(A187="","",IF(S187&lt;&gt;"Ready","Incomplete",IF(COUNTIFS($Q$8:$Q$257,Q187,$S$8:$S$257,"Ready",$B$8:$B$257,"&lt;"&amp;B187)&gt;0,0,IF(COUNTIFS($Q$8:Q187,Q187,$S$8:S187,"Ready",$B$8:B187,B187)=1,1,0))))</x:f>
      </x:c>
      <x:c r="S187" s="44" t="str">
        <x:f>IF(A187="","",IF(COUNTIFS($A$8:$A$257,A187)&gt;1,"Duplicate ID",IF(OR(NOT(ISNUMBER(B187)),C187="",E187="",H187="",P187="",AND(OR(H187="First contact",H187="Reply",H187="Positive reply",H187="Permission confirmed"),D187=""),AND(OR(H187="First contact",H187="Permission confirmed"),OR(T187&lt;&gt;"Reviewed and confirmed",U187="",V187="")),AND(H187="Fit qualified",OR(J187&lt;&gt;"Qualified",K187="",M187="",N187="",NOT(ISNUMBER(O187)))),AND(H187="Route recommended",K187=""),AND(OR(H187="Objection",H187="No fit",H187="Lost"),L187="")),"Incomplete","Ready")))</x:f>
      </x:c>
      <x:c r="T187" s="42"/>
      <x:c r="U187" s="42"/>
      <x:c r="V187" s="42"/>
    </x:row>
    <x:row r="188" ht="23" customHeight="1">
      <x:c r="A188" s="42"/>
      <x:c r="B188" s="43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3"/>
      <x:c r="P188" s="42"/>
      <x:c r="Q188" s="44" t="str">
        <x:f>IF(A188="","",IF(OR(H188="First contact",H188="Reply",H188="Positive reply",H188="Permission confirmed"),"C|"&amp;D188&amp;"|"&amp;H188,"O|"&amp;C188&amp;"|"&amp;H188))</x:f>
      </x:c>
      <x:c r="R188" s="44" t="str">
        <x:f>IF(A188="","",IF(S188&lt;&gt;"Ready","Incomplete",IF(COUNTIFS($Q$8:$Q$257,Q188,$S$8:$S$257,"Ready",$B$8:$B$257,"&lt;"&amp;B188)&gt;0,0,IF(COUNTIFS($Q$8:Q188,Q188,$S$8:S188,"Ready",$B$8:B188,B188)=1,1,0))))</x:f>
      </x:c>
      <x:c r="S188" s="44" t="str">
        <x:f>IF(A188="","",IF(COUNTIFS($A$8:$A$257,A188)&gt;1,"Duplicate ID",IF(OR(NOT(ISNUMBER(B188)),C188="",E188="",H188="",P188="",AND(OR(H188="First contact",H188="Reply",H188="Positive reply",H188="Permission confirmed"),D188=""),AND(OR(H188="First contact",H188="Permission confirmed"),OR(T188&lt;&gt;"Reviewed and confirmed",U188="",V188="")),AND(H188="Fit qualified",OR(J188&lt;&gt;"Qualified",K188="",M188="",N188="",NOT(ISNUMBER(O188)))),AND(H188="Route recommended",K188=""),AND(OR(H188="Objection",H188="No fit",H188="Lost"),L188="")),"Incomplete","Ready")))</x:f>
      </x:c>
      <x:c r="T188" s="42"/>
      <x:c r="U188" s="42"/>
      <x:c r="V188" s="42"/>
    </x:row>
    <x:row r="189" ht="23" customHeight="1">
      <x:c r="A189" s="42"/>
      <x:c r="B189" s="43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3"/>
      <x:c r="P189" s="42"/>
      <x:c r="Q189" s="44" t="str">
        <x:f>IF(A189="","",IF(OR(H189="First contact",H189="Reply",H189="Positive reply",H189="Permission confirmed"),"C|"&amp;D189&amp;"|"&amp;H189,"O|"&amp;C189&amp;"|"&amp;H189))</x:f>
      </x:c>
      <x:c r="R189" s="44" t="str">
        <x:f>IF(A189="","",IF(S189&lt;&gt;"Ready","Incomplete",IF(COUNTIFS($Q$8:$Q$257,Q189,$S$8:$S$257,"Ready",$B$8:$B$257,"&lt;"&amp;B189)&gt;0,0,IF(COUNTIFS($Q$8:Q189,Q189,$S$8:S189,"Ready",$B$8:B189,B189)=1,1,0))))</x:f>
      </x:c>
      <x:c r="S189" s="44" t="str">
        <x:f>IF(A189="","",IF(COUNTIFS($A$8:$A$257,A189)&gt;1,"Duplicate ID",IF(OR(NOT(ISNUMBER(B189)),C189="",E189="",H189="",P189="",AND(OR(H189="First contact",H189="Reply",H189="Positive reply",H189="Permission confirmed"),D189=""),AND(OR(H189="First contact",H189="Permission confirmed"),OR(T189&lt;&gt;"Reviewed and confirmed",U189="",V189="")),AND(H189="Fit qualified",OR(J189&lt;&gt;"Qualified",K189="",M189="",N189="",NOT(ISNUMBER(O189)))),AND(H189="Route recommended",K189=""),AND(OR(H189="Objection",H189="No fit",H189="Lost"),L189="")),"Incomplete","Ready")))</x:f>
      </x:c>
      <x:c r="T189" s="42"/>
      <x:c r="U189" s="42"/>
      <x:c r="V189" s="42"/>
    </x:row>
    <x:row r="190" ht="23" customHeight="1">
      <x:c r="A190" s="42"/>
      <x:c r="B190" s="43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3"/>
      <x:c r="P190" s="42"/>
      <x:c r="Q190" s="44" t="str">
        <x:f>IF(A190="","",IF(OR(H190="First contact",H190="Reply",H190="Positive reply",H190="Permission confirmed"),"C|"&amp;D190&amp;"|"&amp;H190,"O|"&amp;C190&amp;"|"&amp;H190))</x:f>
      </x:c>
      <x:c r="R190" s="44" t="str">
        <x:f>IF(A190="","",IF(S190&lt;&gt;"Ready","Incomplete",IF(COUNTIFS($Q$8:$Q$257,Q190,$S$8:$S$257,"Ready",$B$8:$B$257,"&lt;"&amp;B190)&gt;0,0,IF(COUNTIFS($Q$8:Q190,Q190,$S$8:S190,"Ready",$B$8:B190,B190)=1,1,0))))</x:f>
      </x:c>
      <x:c r="S190" s="44" t="str">
        <x:f>IF(A190="","",IF(COUNTIFS($A$8:$A$257,A190)&gt;1,"Duplicate ID",IF(OR(NOT(ISNUMBER(B190)),C190="",E190="",H190="",P190="",AND(OR(H190="First contact",H190="Reply",H190="Positive reply",H190="Permission confirmed"),D190=""),AND(OR(H190="First contact",H190="Permission confirmed"),OR(T190&lt;&gt;"Reviewed and confirmed",U190="",V190="")),AND(H190="Fit qualified",OR(J190&lt;&gt;"Qualified",K190="",M190="",N190="",NOT(ISNUMBER(O190)))),AND(H190="Route recommended",K190=""),AND(OR(H190="Objection",H190="No fit",H190="Lost"),L190="")),"Incomplete","Ready")))</x:f>
      </x:c>
      <x:c r="T190" s="42"/>
      <x:c r="U190" s="42"/>
      <x:c r="V190" s="42"/>
    </x:row>
    <x:row r="191" ht="23" customHeight="1">
      <x:c r="A191" s="42"/>
      <x:c r="B191" s="43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3"/>
      <x:c r="P191" s="42"/>
      <x:c r="Q191" s="44" t="str">
        <x:f>IF(A191="","",IF(OR(H191="First contact",H191="Reply",H191="Positive reply",H191="Permission confirmed"),"C|"&amp;D191&amp;"|"&amp;H191,"O|"&amp;C191&amp;"|"&amp;H191))</x:f>
      </x:c>
      <x:c r="R191" s="44" t="str">
        <x:f>IF(A191="","",IF(S191&lt;&gt;"Ready","Incomplete",IF(COUNTIFS($Q$8:$Q$257,Q191,$S$8:$S$257,"Ready",$B$8:$B$257,"&lt;"&amp;B191)&gt;0,0,IF(COUNTIFS($Q$8:Q191,Q191,$S$8:S191,"Ready",$B$8:B191,B191)=1,1,0))))</x:f>
      </x:c>
      <x:c r="S191" s="44" t="str">
        <x:f>IF(A191="","",IF(COUNTIFS($A$8:$A$257,A191)&gt;1,"Duplicate ID",IF(OR(NOT(ISNUMBER(B191)),C191="",E191="",H191="",P191="",AND(OR(H191="First contact",H191="Reply",H191="Positive reply",H191="Permission confirmed"),D191=""),AND(OR(H191="First contact",H191="Permission confirmed"),OR(T191&lt;&gt;"Reviewed and confirmed",U191="",V191="")),AND(H191="Fit qualified",OR(J191&lt;&gt;"Qualified",K191="",M191="",N191="",NOT(ISNUMBER(O191)))),AND(H191="Route recommended",K191=""),AND(OR(H191="Objection",H191="No fit",H191="Lost"),L191="")),"Incomplete","Ready")))</x:f>
      </x:c>
      <x:c r="T191" s="42"/>
      <x:c r="U191" s="42"/>
      <x:c r="V191" s="42"/>
    </x:row>
    <x:row r="192" ht="23" customHeight="1">
      <x:c r="A192" s="42"/>
      <x:c r="B192" s="43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3"/>
      <x:c r="P192" s="42"/>
      <x:c r="Q192" s="44" t="str">
        <x:f>IF(A192="","",IF(OR(H192="First contact",H192="Reply",H192="Positive reply",H192="Permission confirmed"),"C|"&amp;D192&amp;"|"&amp;H192,"O|"&amp;C192&amp;"|"&amp;H192))</x:f>
      </x:c>
      <x:c r="R192" s="44" t="str">
        <x:f>IF(A192="","",IF(S192&lt;&gt;"Ready","Incomplete",IF(COUNTIFS($Q$8:$Q$257,Q192,$S$8:$S$257,"Ready",$B$8:$B$257,"&lt;"&amp;B192)&gt;0,0,IF(COUNTIFS($Q$8:Q192,Q192,$S$8:S192,"Ready",$B$8:B192,B192)=1,1,0))))</x:f>
      </x:c>
      <x:c r="S192" s="44" t="str">
        <x:f>IF(A192="","",IF(COUNTIFS($A$8:$A$257,A192)&gt;1,"Duplicate ID",IF(OR(NOT(ISNUMBER(B192)),C192="",E192="",H192="",P192="",AND(OR(H192="First contact",H192="Reply",H192="Positive reply",H192="Permission confirmed"),D192=""),AND(OR(H192="First contact",H192="Permission confirmed"),OR(T192&lt;&gt;"Reviewed and confirmed",U192="",V192="")),AND(H192="Fit qualified",OR(J192&lt;&gt;"Qualified",K192="",M192="",N192="",NOT(ISNUMBER(O192)))),AND(H192="Route recommended",K192=""),AND(OR(H192="Objection",H192="No fit",H192="Lost"),L192="")),"Incomplete","Ready")))</x:f>
      </x:c>
      <x:c r="T192" s="42"/>
      <x:c r="U192" s="42"/>
      <x:c r="V192" s="42"/>
    </x:row>
    <x:row r="193" ht="23" customHeight="1">
      <x:c r="A193" s="42"/>
      <x:c r="B193" s="43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3"/>
      <x:c r="P193" s="42"/>
      <x:c r="Q193" s="44" t="str">
        <x:f>IF(A193="","",IF(OR(H193="First contact",H193="Reply",H193="Positive reply",H193="Permission confirmed"),"C|"&amp;D193&amp;"|"&amp;H193,"O|"&amp;C193&amp;"|"&amp;H193))</x:f>
      </x:c>
      <x:c r="R193" s="44" t="str">
        <x:f>IF(A193="","",IF(S193&lt;&gt;"Ready","Incomplete",IF(COUNTIFS($Q$8:$Q$257,Q193,$S$8:$S$257,"Ready",$B$8:$B$257,"&lt;"&amp;B193)&gt;0,0,IF(COUNTIFS($Q$8:Q193,Q193,$S$8:S193,"Ready",$B$8:B193,B193)=1,1,0))))</x:f>
      </x:c>
      <x:c r="S193" s="44" t="str">
        <x:f>IF(A193="","",IF(COUNTIFS($A$8:$A$257,A193)&gt;1,"Duplicate ID",IF(OR(NOT(ISNUMBER(B193)),C193="",E193="",H193="",P193="",AND(OR(H193="First contact",H193="Reply",H193="Positive reply",H193="Permission confirmed"),D193=""),AND(OR(H193="First contact",H193="Permission confirmed"),OR(T193&lt;&gt;"Reviewed and confirmed",U193="",V193="")),AND(H193="Fit qualified",OR(J193&lt;&gt;"Qualified",K193="",M193="",N193="",NOT(ISNUMBER(O193)))),AND(H193="Route recommended",K193=""),AND(OR(H193="Objection",H193="No fit",H193="Lost"),L193="")),"Incomplete","Ready")))</x:f>
      </x:c>
      <x:c r="T193" s="42"/>
      <x:c r="U193" s="42"/>
      <x:c r="V193" s="42"/>
    </x:row>
    <x:row r="194" ht="23" customHeight="1">
      <x:c r="A194" s="42"/>
      <x:c r="B194" s="43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3"/>
      <x:c r="P194" s="42"/>
      <x:c r="Q194" s="44" t="str">
        <x:f>IF(A194="","",IF(OR(H194="First contact",H194="Reply",H194="Positive reply",H194="Permission confirmed"),"C|"&amp;D194&amp;"|"&amp;H194,"O|"&amp;C194&amp;"|"&amp;H194))</x:f>
      </x:c>
      <x:c r="R194" s="44" t="str">
        <x:f>IF(A194="","",IF(S194&lt;&gt;"Ready","Incomplete",IF(COUNTIFS($Q$8:$Q$257,Q194,$S$8:$S$257,"Ready",$B$8:$B$257,"&lt;"&amp;B194)&gt;0,0,IF(COUNTIFS($Q$8:Q194,Q194,$S$8:S194,"Ready",$B$8:B194,B194)=1,1,0))))</x:f>
      </x:c>
      <x:c r="S194" s="44" t="str">
        <x:f>IF(A194="","",IF(COUNTIFS($A$8:$A$257,A194)&gt;1,"Duplicate ID",IF(OR(NOT(ISNUMBER(B194)),C194="",E194="",H194="",P194="",AND(OR(H194="First contact",H194="Reply",H194="Positive reply",H194="Permission confirmed"),D194=""),AND(OR(H194="First contact",H194="Permission confirmed"),OR(T194&lt;&gt;"Reviewed and confirmed",U194="",V194="")),AND(H194="Fit qualified",OR(J194&lt;&gt;"Qualified",K194="",M194="",N194="",NOT(ISNUMBER(O194)))),AND(H194="Route recommended",K194=""),AND(OR(H194="Objection",H194="No fit",H194="Lost"),L194="")),"Incomplete","Ready")))</x:f>
      </x:c>
      <x:c r="T194" s="42"/>
      <x:c r="U194" s="42"/>
      <x:c r="V194" s="42"/>
    </x:row>
    <x:row r="195" ht="23" customHeight="1">
      <x:c r="A195" s="42"/>
      <x:c r="B195" s="43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3"/>
      <x:c r="P195" s="42"/>
      <x:c r="Q195" s="44" t="str">
        <x:f>IF(A195="","",IF(OR(H195="First contact",H195="Reply",H195="Positive reply",H195="Permission confirmed"),"C|"&amp;D195&amp;"|"&amp;H195,"O|"&amp;C195&amp;"|"&amp;H195))</x:f>
      </x:c>
      <x:c r="R195" s="44" t="str">
        <x:f>IF(A195="","",IF(S195&lt;&gt;"Ready","Incomplete",IF(COUNTIFS($Q$8:$Q$257,Q195,$S$8:$S$257,"Ready",$B$8:$B$257,"&lt;"&amp;B195)&gt;0,0,IF(COUNTIFS($Q$8:Q195,Q195,$S$8:S195,"Ready",$B$8:B195,B195)=1,1,0))))</x:f>
      </x:c>
      <x:c r="S195" s="44" t="str">
        <x:f>IF(A195="","",IF(COUNTIFS($A$8:$A$257,A195)&gt;1,"Duplicate ID",IF(OR(NOT(ISNUMBER(B195)),C195="",E195="",H195="",P195="",AND(OR(H195="First contact",H195="Reply",H195="Positive reply",H195="Permission confirmed"),D195=""),AND(OR(H195="First contact",H195="Permission confirmed"),OR(T195&lt;&gt;"Reviewed and confirmed",U195="",V195="")),AND(H195="Fit qualified",OR(J195&lt;&gt;"Qualified",K195="",M195="",N195="",NOT(ISNUMBER(O195)))),AND(H195="Route recommended",K195=""),AND(OR(H195="Objection",H195="No fit",H195="Lost"),L195="")),"Incomplete","Ready")))</x:f>
      </x:c>
      <x:c r="T195" s="42"/>
      <x:c r="U195" s="42"/>
      <x:c r="V195" s="42"/>
    </x:row>
    <x:row r="196" ht="23" customHeight="1">
      <x:c r="A196" s="42"/>
      <x:c r="B196" s="43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3"/>
      <x:c r="P196" s="42"/>
      <x:c r="Q196" s="44" t="str">
        <x:f>IF(A196="","",IF(OR(H196="First contact",H196="Reply",H196="Positive reply",H196="Permission confirmed"),"C|"&amp;D196&amp;"|"&amp;H196,"O|"&amp;C196&amp;"|"&amp;H196))</x:f>
      </x:c>
      <x:c r="R196" s="44" t="str">
        <x:f>IF(A196="","",IF(S196&lt;&gt;"Ready","Incomplete",IF(COUNTIFS($Q$8:$Q$257,Q196,$S$8:$S$257,"Ready",$B$8:$B$257,"&lt;"&amp;B196)&gt;0,0,IF(COUNTIFS($Q$8:Q196,Q196,$S$8:S196,"Ready",$B$8:B196,B196)=1,1,0))))</x:f>
      </x:c>
      <x:c r="S196" s="44" t="str">
        <x:f>IF(A196="","",IF(COUNTIFS($A$8:$A$257,A196)&gt;1,"Duplicate ID",IF(OR(NOT(ISNUMBER(B196)),C196="",E196="",H196="",P196="",AND(OR(H196="First contact",H196="Reply",H196="Positive reply",H196="Permission confirmed"),D196=""),AND(OR(H196="First contact",H196="Permission confirmed"),OR(T196&lt;&gt;"Reviewed and confirmed",U196="",V196="")),AND(H196="Fit qualified",OR(J196&lt;&gt;"Qualified",K196="",M196="",N196="",NOT(ISNUMBER(O196)))),AND(H196="Route recommended",K196=""),AND(OR(H196="Objection",H196="No fit",H196="Lost"),L196="")),"Incomplete","Ready")))</x:f>
      </x:c>
      <x:c r="T196" s="42"/>
      <x:c r="U196" s="42"/>
      <x:c r="V196" s="42"/>
    </x:row>
    <x:row r="197" ht="23" customHeight="1">
      <x:c r="A197" s="42"/>
      <x:c r="B197" s="43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3"/>
      <x:c r="P197" s="42"/>
      <x:c r="Q197" s="44" t="str">
        <x:f>IF(A197="","",IF(OR(H197="First contact",H197="Reply",H197="Positive reply",H197="Permission confirmed"),"C|"&amp;D197&amp;"|"&amp;H197,"O|"&amp;C197&amp;"|"&amp;H197))</x:f>
      </x:c>
      <x:c r="R197" s="44" t="str">
        <x:f>IF(A197="","",IF(S197&lt;&gt;"Ready","Incomplete",IF(COUNTIFS($Q$8:$Q$257,Q197,$S$8:$S$257,"Ready",$B$8:$B$257,"&lt;"&amp;B197)&gt;0,0,IF(COUNTIFS($Q$8:Q197,Q197,$S$8:S197,"Ready",$B$8:B197,B197)=1,1,0))))</x:f>
      </x:c>
      <x:c r="S197" s="44" t="str">
        <x:f>IF(A197="","",IF(COUNTIFS($A$8:$A$257,A197)&gt;1,"Duplicate ID",IF(OR(NOT(ISNUMBER(B197)),C197="",E197="",H197="",P197="",AND(OR(H197="First contact",H197="Reply",H197="Positive reply",H197="Permission confirmed"),D197=""),AND(OR(H197="First contact",H197="Permission confirmed"),OR(T197&lt;&gt;"Reviewed and confirmed",U197="",V197="")),AND(H197="Fit qualified",OR(J197&lt;&gt;"Qualified",K197="",M197="",N197="",NOT(ISNUMBER(O197)))),AND(H197="Route recommended",K197=""),AND(OR(H197="Objection",H197="No fit",H197="Lost"),L197="")),"Incomplete","Ready")))</x:f>
      </x:c>
      <x:c r="T197" s="42"/>
      <x:c r="U197" s="42"/>
      <x:c r="V197" s="42"/>
    </x:row>
    <x:row r="198" ht="23" customHeight="1">
      <x:c r="A198" s="42"/>
      <x:c r="B198" s="43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3"/>
      <x:c r="P198" s="42"/>
      <x:c r="Q198" s="44" t="str">
        <x:f>IF(A198="","",IF(OR(H198="First contact",H198="Reply",H198="Positive reply",H198="Permission confirmed"),"C|"&amp;D198&amp;"|"&amp;H198,"O|"&amp;C198&amp;"|"&amp;H198))</x:f>
      </x:c>
      <x:c r="R198" s="44" t="str">
        <x:f>IF(A198="","",IF(S198&lt;&gt;"Ready","Incomplete",IF(COUNTIFS($Q$8:$Q$257,Q198,$S$8:$S$257,"Ready",$B$8:$B$257,"&lt;"&amp;B198)&gt;0,0,IF(COUNTIFS($Q$8:Q198,Q198,$S$8:S198,"Ready",$B$8:B198,B198)=1,1,0))))</x:f>
      </x:c>
      <x:c r="S198" s="44" t="str">
        <x:f>IF(A198="","",IF(COUNTIFS($A$8:$A$257,A198)&gt;1,"Duplicate ID",IF(OR(NOT(ISNUMBER(B198)),C198="",E198="",H198="",P198="",AND(OR(H198="First contact",H198="Reply",H198="Positive reply",H198="Permission confirmed"),D198=""),AND(OR(H198="First contact",H198="Permission confirmed"),OR(T198&lt;&gt;"Reviewed and confirmed",U198="",V198="")),AND(H198="Fit qualified",OR(J198&lt;&gt;"Qualified",K198="",M198="",N198="",NOT(ISNUMBER(O198)))),AND(H198="Route recommended",K198=""),AND(OR(H198="Objection",H198="No fit",H198="Lost"),L198="")),"Incomplete","Ready")))</x:f>
      </x:c>
      <x:c r="T198" s="42"/>
      <x:c r="U198" s="42"/>
      <x:c r="V198" s="42"/>
    </x:row>
    <x:row r="199" ht="23" customHeight="1">
      <x:c r="A199" s="42"/>
      <x:c r="B199" s="43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3"/>
      <x:c r="P199" s="42"/>
      <x:c r="Q199" s="44" t="str">
        <x:f>IF(A199="","",IF(OR(H199="First contact",H199="Reply",H199="Positive reply",H199="Permission confirmed"),"C|"&amp;D199&amp;"|"&amp;H199,"O|"&amp;C199&amp;"|"&amp;H199))</x:f>
      </x:c>
      <x:c r="R199" s="44" t="str">
        <x:f>IF(A199="","",IF(S199&lt;&gt;"Ready","Incomplete",IF(COUNTIFS($Q$8:$Q$257,Q199,$S$8:$S$257,"Ready",$B$8:$B$257,"&lt;"&amp;B199)&gt;0,0,IF(COUNTIFS($Q$8:Q199,Q199,$S$8:S199,"Ready",$B$8:B199,B199)=1,1,0))))</x:f>
      </x:c>
      <x:c r="S199" s="44" t="str">
        <x:f>IF(A199="","",IF(COUNTIFS($A$8:$A$257,A199)&gt;1,"Duplicate ID",IF(OR(NOT(ISNUMBER(B199)),C199="",E199="",H199="",P199="",AND(OR(H199="First contact",H199="Reply",H199="Positive reply",H199="Permission confirmed"),D199=""),AND(OR(H199="First contact",H199="Permission confirmed"),OR(T199&lt;&gt;"Reviewed and confirmed",U199="",V199="")),AND(H199="Fit qualified",OR(J199&lt;&gt;"Qualified",K199="",M199="",N199="",NOT(ISNUMBER(O199)))),AND(H199="Route recommended",K199=""),AND(OR(H199="Objection",H199="No fit",H199="Lost"),L199="")),"Incomplete","Ready")))</x:f>
      </x:c>
      <x:c r="T199" s="42"/>
      <x:c r="U199" s="42"/>
      <x:c r="V199" s="42"/>
    </x:row>
    <x:row r="200" ht="23" customHeight="1">
      <x:c r="A200" s="42"/>
      <x:c r="B200" s="43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3"/>
      <x:c r="P200" s="42"/>
      <x:c r="Q200" s="44" t="str">
        <x:f>IF(A200="","",IF(OR(H200="First contact",H200="Reply",H200="Positive reply",H200="Permission confirmed"),"C|"&amp;D200&amp;"|"&amp;H200,"O|"&amp;C200&amp;"|"&amp;H200))</x:f>
      </x:c>
      <x:c r="R200" s="44" t="str">
        <x:f>IF(A200="","",IF(S200&lt;&gt;"Ready","Incomplete",IF(COUNTIFS($Q$8:$Q$257,Q200,$S$8:$S$257,"Ready",$B$8:$B$257,"&lt;"&amp;B200)&gt;0,0,IF(COUNTIFS($Q$8:Q200,Q200,$S$8:S200,"Ready",$B$8:B200,B200)=1,1,0))))</x:f>
      </x:c>
      <x:c r="S200" s="44" t="str">
        <x:f>IF(A200="","",IF(COUNTIFS($A$8:$A$257,A200)&gt;1,"Duplicate ID",IF(OR(NOT(ISNUMBER(B200)),C200="",E200="",H200="",P200="",AND(OR(H200="First contact",H200="Reply",H200="Positive reply",H200="Permission confirmed"),D200=""),AND(OR(H200="First contact",H200="Permission confirmed"),OR(T200&lt;&gt;"Reviewed and confirmed",U200="",V200="")),AND(H200="Fit qualified",OR(J200&lt;&gt;"Qualified",K200="",M200="",N200="",NOT(ISNUMBER(O200)))),AND(H200="Route recommended",K200=""),AND(OR(H200="Objection",H200="No fit",H200="Lost"),L200="")),"Incomplete","Ready")))</x:f>
      </x:c>
      <x:c r="T200" s="42"/>
      <x:c r="U200" s="42"/>
      <x:c r="V200" s="42"/>
    </x:row>
    <x:row r="201" ht="23" customHeight="1">
      <x:c r="A201" s="42"/>
      <x:c r="B201" s="43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3"/>
      <x:c r="P201" s="42"/>
      <x:c r="Q201" s="44" t="str">
        <x:f>IF(A201="","",IF(OR(H201="First contact",H201="Reply",H201="Positive reply",H201="Permission confirmed"),"C|"&amp;D201&amp;"|"&amp;H201,"O|"&amp;C201&amp;"|"&amp;H201))</x:f>
      </x:c>
      <x:c r="R201" s="44" t="str">
        <x:f>IF(A201="","",IF(S201&lt;&gt;"Ready","Incomplete",IF(COUNTIFS($Q$8:$Q$257,Q201,$S$8:$S$257,"Ready",$B$8:$B$257,"&lt;"&amp;B201)&gt;0,0,IF(COUNTIFS($Q$8:Q201,Q201,$S$8:S201,"Ready",$B$8:B201,B201)=1,1,0))))</x:f>
      </x:c>
      <x:c r="S201" s="44" t="str">
        <x:f>IF(A201="","",IF(COUNTIFS($A$8:$A$257,A201)&gt;1,"Duplicate ID",IF(OR(NOT(ISNUMBER(B201)),C201="",E201="",H201="",P201="",AND(OR(H201="First contact",H201="Reply",H201="Positive reply",H201="Permission confirmed"),D201=""),AND(OR(H201="First contact",H201="Permission confirmed"),OR(T201&lt;&gt;"Reviewed and confirmed",U201="",V201="")),AND(H201="Fit qualified",OR(J201&lt;&gt;"Qualified",K201="",M201="",N201="",NOT(ISNUMBER(O201)))),AND(H201="Route recommended",K201=""),AND(OR(H201="Objection",H201="No fit",H201="Lost"),L201="")),"Incomplete","Ready")))</x:f>
      </x:c>
      <x:c r="T201" s="42"/>
      <x:c r="U201" s="42"/>
      <x:c r="V201" s="42"/>
    </x:row>
    <x:row r="202" ht="23" customHeight="1">
      <x:c r="A202" s="42"/>
      <x:c r="B202" s="43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3"/>
      <x:c r="P202" s="42"/>
      <x:c r="Q202" s="44" t="str">
        <x:f>IF(A202="","",IF(OR(H202="First contact",H202="Reply",H202="Positive reply",H202="Permission confirmed"),"C|"&amp;D202&amp;"|"&amp;H202,"O|"&amp;C202&amp;"|"&amp;H202))</x:f>
      </x:c>
      <x:c r="R202" s="44" t="str">
        <x:f>IF(A202="","",IF(S202&lt;&gt;"Ready","Incomplete",IF(COUNTIFS($Q$8:$Q$257,Q202,$S$8:$S$257,"Ready",$B$8:$B$257,"&lt;"&amp;B202)&gt;0,0,IF(COUNTIFS($Q$8:Q202,Q202,$S$8:S202,"Ready",$B$8:B202,B202)=1,1,0))))</x:f>
      </x:c>
      <x:c r="S202" s="44" t="str">
        <x:f>IF(A202="","",IF(COUNTIFS($A$8:$A$257,A202)&gt;1,"Duplicate ID",IF(OR(NOT(ISNUMBER(B202)),C202="",E202="",H202="",P202="",AND(OR(H202="First contact",H202="Reply",H202="Positive reply",H202="Permission confirmed"),D202=""),AND(OR(H202="First contact",H202="Permission confirmed"),OR(T202&lt;&gt;"Reviewed and confirmed",U202="",V202="")),AND(H202="Fit qualified",OR(J202&lt;&gt;"Qualified",K202="",M202="",N202="",NOT(ISNUMBER(O202)))),AND(H202="Route recommended",K202=""),AND(OR(H202="Objection",H202="No fit",H202="Lost"),L202="")),"Incomplete","Ready")))</x:f>
      </x:c>
      <x:c r="T202" s="42"/>
      <x:c r="U202" s="42"/>
      <x:c r="V202" s="42"/>
    </x:row>
    <x:row r="203" ht="23" customHeight="1">
      <x:c r="A203" s="42"/>
      <x:c r="B203" s="43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3"/>
      <x:c r="P203" s="42"/>
      <x:c r="Q203" s="44" t="str">
        <x:f>IF(A203="","",IF(OR(H203="First contact",H203="Reply",H203="Positive reply",H203="Permission confirmed"),"C|"&amp;D203&amp;"|"&amp;H203,"O|"&amp;C203&amp;"|"&amp;H203))</x:f>
      </x:c>
      <x:c r="R203" s="44" t="str">
        <x:f>IF(A203="","",IF(S203&lt;&gt;"Ready","Incomplete",IF(COUNTIFS($Q$8:$Q$257,Q203,$S$8:$S$257,"Ready",$B$8:$B$257,"&lt;"&amp;B203)&gt;0,0,IF(COUNTIFS($Q$8:Q203,Q203,$S$8:S203,"Ready",$B$8:B203,B203)=1,1,0))))</x:f>
      </x:c>
      <x:c r="S203" s="44" t="str">
        <x:f>IF(A203="","",IF(COUNTIFS($A$8:$A$257,A203)&gt;1,"Duplicate ID",IF(OR(NOT(ISNUMBER(B203)),C203="",E203="",H203="",P203="",AND(OR(H203="First contact",H203="Reply",H203="Positive reply",H203="Permission confirmed"),D203=""),AND(OR(H203="First contact",H203="Permission confirmed"),OR(T203&lt;&gt;"Reviewed and confirmed",U203="",V203="")),AND(H203="Fit qualified",OR(J203&lt;&gt;"Qualified",K203="",M203="",N203="",NOT(ISNUMBER(O203)))),AND(H203="Route recommended",K203=""),AND(OR(H203="Objection",H203="No fit",H203="Lost"),L203="")),"Incomplete","Ready")))</x:f>
      </x:c>
      <x:c r="T203" s="42"/>
      <x:c r="U203" s="42"/>
      <x:c r="V203" s="42"/>
    </x:row>
    <x:row r="204" ht="23" customHeight="1">
      <x:c r="A204" s="42"/>
      <x:c r="B204" s="43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3"/>
      <x:c r="P204" s="42"/>
      <x:c r="Q204" s="44" t="str">
        <x:f>IF(A204="","",IF(OR(H204="First contact",H204="Reply",H204="Positive reply",H204="Permission confirmed"),"C|"&amp;D204&amp;"|"&amp;H204,"O|"&amp;C204&amp;"|"&amp;H204))</x:f>
      </x:c>
      <x:c r="R204" s="44" t="str">
        <x:f>IF(A204="","",IF(S204&lt;&gt;"Ready","Incomplete",IF(COUNTIFS($Q$8:$Q$257,Q204,$S$8:$S$257,"Ready",$B$8:$B$257,"&lt;"&amp;B204)&gt;0,0,IF(COUNTIFS($Q$8:Q204,Q204,$S$8:S204,"Ready",$B$8:B204,B204)=1,1,0))))</x:f>
      </x:c>
      <x:c r="S204" s="44" t="str">
        <x:f>IF(A204="","",IF(COUNTIFS($A$8:$A$257,A204)&gt;1,"Duplicate ID",IF(OR(NOT(ISNUMBER(B204)),C204="",E204="",H204="",P204="",AND(OR(H204="First contact",H204="Reply",H204="Positive reply",H204="Permission confirmed"),D204=""),AND(OR(H204="First contact",H204="Permission confirmed"),OR(T204&lt;&gt;"Reviewed and confirmed",U204="",V204="")),AND(H204="Fit qualified",OR(J204&lt;&gt;"Qualified",K204="",M204="",N204="",NOT(ISNUMBER(O204)))),AND(H204="Route recommended",K204=""),AND(OR(H204="Objection",H204="No fit",H204="Lost"),L204="")),"Incomplete","Ready")))</x:f>
      </x:c>
      <x:c r="T204" s="42"/>
      <x:c r="U204" s="42"/>
      <x:c r="V204" s="42"/>
    </x:row>
    <x:row r="205" ht="23" customHeight="1">
      <x:c r="A205" s="42"/>
      <x:c r="B205" s="43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3"/>
      <x:c r="P205" s="42"/>
      <x:c r="Q205" s="44" t="str">
        <x:f>IF(A205="","",IF(OR(H205="First contact",H205="Reply",H205="Positive reply",H205="Permission confirmed"),"C|"&amp;D205&amp;"|"&amp;H205,"O|"&amp;C205&amp;"|"&amp;H205))</x:f>
      </x:c>
      <x:c r="R205" s="44" t="str">
        <x:f>IF(A205="","",IF(S205&lt;&gt;"Ready","Incomplete",IF(COUNTIFS($Q$8:$Q$257,Q205,$S$8:$S$257,"Ready",$B$8:$B$257,"&lt;"&amp;B205)&gt;0,0,IF(COUNTIFS($Q$8:Q205,Q205,$S$8:S205,"Ready",$B$8:B205,B205)=1,1,0))))</x:f>
      </x:c>
      <x:c r="S205" s="44" t="str">
        <x:f>IF(A205="","",IF(COUNTIFS($A$8:$A$257,A205)&gt;1,"Duplicate ID",IF(OR(NOT(ISNUMBER(B205)),C205="",E205="",H205="",P205="",AND(OR(H205="First contact",H205="Reply",H205="Positive reply",H205="Permission confirmed"),D205=""),AND(OR(H205="First contact",H205="Permission confirmed"),OR(T205&lt;&gt;"Reviewed and confirmed",U205="",V205="")),AND(H205="Fit qualified",OR(J205&lt;&gt;"Qualified",K205="",M205="",N205="",NOT(ISNUMBER(O205)))),AND(H205="Route recommended",K205=""),AND(OR(H205="Objection",H205="No fit",H205="Lost"),L205="")),"Incomplete","Ready")))</x:f>
      </x:c>
      <x:c r="T205" s="42"/>
      <x:c r="U205" s="42"/>
      <x:c r="V205" s="42"/>
    </x:row>
    <x:row r="206" ht="23" customHeight="1">
      <x:c r="A206" s="42"/>
      <x:c r="B206" s="43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3"/>
      <x:c r="P206" s="42"/>
      <x:c r="Q206" s="44" t="str">
        <x:f>IF(A206="","",IF(OR(H206="First contact",H206="Reply",H206="Positive reply",H206="Permission confirmed"),"C|"&amp;D206&amp;"|"&amp;H206,"O|"&amp;C206&amp;"|"&amp;H206))</x:f>
      </x:c>
      <x:c r="R206" s="44" t="str">
        <x:f>IF(A206="","",IF(S206&lt;&gt;"Ready","Incomplete",IF(COUNTIFS($Q$8:$Q$257,Q206,$S$8:$S$257,"Ready",$B$8:$B$257,"&lt;"&amp;B206)&gt;0,0,IF(COUNTIFS($Q$8:Q206,Q206,$S$8:S206,"Ready",$B$8:B206,B206)=1,1,0))))</x:f>
      </x:c>
      <x:c r="S206" s="44" t="str">
        <x:f>IF(A206="","",IF(COUNTIFS($A$8:$A$257,A206)&gt;1,"Duplicate ID",IF(OR(NOT(ISNUMBER(B206)),C206="",E206="",H206="",P206="",AND(OR(H206="First contact",H206="Reply",H206="Positive reply",H206="Permission confirmed"),D206=""),AND(OR(H206="First contact",H206="Permission confirmed"),OR(T206&lt;&gt;"Reviewed and confirmed",U206="",V206="")),AND(H206="Fit qualified",OR(J206&lt;&gt;"Qualified",K206="",M206="",N206="",NOT(ISNUMBER(O206)))),AND(H206="Route recommended",K206=""),AND(OR(H206="Objection",H206="No fit",H206="Lost"),L206="")),"Incomplete","Ready")))</x:f>
      </x:c>
      <x:c r="T206" s="42"/>
      <x:c r="U206" s="42"/>
      <x:c r="V206" s="42"/>
    </x:row>
    <x:row r="207" ht="23" customHeight="1">
      <x:c r="A207" s="42"/>
      <x:c r="B207" s="43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3"/>
      <x:c r="P207" s="42"/>
      <x:c r="Q207" s="44" t="str">
        <x:f>IF(A207="","",IF(OR(H207="First contact",H207="Reply",H207="Positive reply",H207="Permission confirmed"),"C|"&amp;D207&amp;"|"&amp;H207,"O|"&amp;C207&amp;"|"&amp;H207))</x:f>
      </x:c>
      <x:c r="R207" s="44" t="str">
        <x:f>IF(A207="","",IF(S207&lt;&gt;"Ready","Incomplete",IF(COUNTIFS($Q$8:$Q$257,Q207,$S$8:$S$257,"Ready",$B$8:$B$257,"&lt;"&amp;B207)&gt;0,0,IF(COUNTIFS($Q$8:Q207,Q207,$S$8:S207,"Ready",$B$8:B207,B207)=1,1,0))))</x:f>
      </x:c>
      <x:c r="S207" s="44" t="str">
        <x:f>IF(A207="","",IF(COUNTIFS($A$8:$A$257,A207)&gt;1,"Duplicate ID",IF(OR(NOT(ISNUMBER(B207)),C207="",E207="",H207="",P207="",AND(OR(H207="First contact",H207="Reply",H207="Positive reply",H207="Permission confirmed"),D207=""),AND(OR(H207="First contact",H207="Permission confirmed"),OR(T207&lt;&gt;"Reviewed and confirmed",U207="",V207="")),AND(H207="Fit qualified",OR(J207&lt;&gt;"Qualified",K207="",M207="",N207="",NOT(ISNUMBER(O207)))),AND(H207="Route recommended",K207=""),AND(OR(H207="Objection",H207="No fit",H207="Lost"),L207="")),"Incomplete","Ready")))</x:f>
      </x:c>
      <x:c r="T207" s="42"/>
      <x:c r="U207" s="42"/>
      <x:c r="V207" s="42"/>
    </x:row>
    <x:row r="208" ht="23" customHeight="1">
      <x:c r="A208" s="42"/>
      <x:c r="B208" s="43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3"/>
      <x:c r="P208" s="42"/>
      <x:c r="Q208" s="44" t="str">
        <x:f>IF(A208="","",IF(OR(H208="First contact",H208="Reply",H208="Positive reply",H208="Permission confirmed"),"C|"&amp;D208&amp;"|"&amp;H208,"O|"&amp;C208&amp;"|"&amp;H208))</x:f>
      </x:c>
      <x:c r="R208" s="44" t="str">
        <x:f>IF(A208="","",IF(S208&lt;&gt;"Ready","Incomplete",IF(COUNTIFS($Q$8:$Q$257,Q208,$S$8:$S$257,"Ready",$B$8:$B$257,"&lt;"&amp;B208)&gt;0,0,IF(COUNTIFS($Q$8:Q208,Q208,$S$8:S208,"Ready",$B$8:B208,B208)=1,1,0))))</x:f>
      </x:c>
      <x:c r="S208" s="44" t="str">
        <x:f>IF(A208="","",IF(COUNTIFS($A$8:$A$257,A208)&gt;1,"Duplicate ID",IF(OR(NOT(ISNUMBER(B208)),C208="",E208="",H208="",P208="",AND(OR(H208="First contact",H208="Reply",H208="Positive reply",H208="Permission confirmed"),D208=""),AND(OR(H208="First contact",H208="Permission confirmed"),OR(T208&lt;&gt;"Reviewed and confirmed",U208="",V208="")),AND(H208="Fit qualified",OR(J208&lt;&gt;"Qualified",K208="",M208="",N208="",NOT(ISNUMBER(O208)))),AND(H208="Route recommended",K208=""),AND(OR(H208="Objection",H208="No fit",H208="Lost"),L208="")),"Incomplete","Ready")))</x:f>
      </x:c>
      <x:c r="T208" s="42"/>
      <x:c r="U208" s="42"/>
      <x:c r="V208" s="42"/>
    </x:row>
    <x:row r="209" ht="23" customHeight="1">
      <x:c r="A209" s="42"/>
      <x:c r="B209" s="43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3"/>
      <x:c r="P209" s="42"/>
      <x:c r="Q209" s="44" t="str">
        <x:f>IF(A209="","",IF(OR(H209="First contact",H209="Reply",H209="Positive reply",H209="Permission confirmed"),"C|"&amp;D209&amp;"|"&amp;H209,"O|"&amp;C209&amp;"|"&amp;H209))</x:f>
      </x:c>
      <x:c r="R209" s="44" t="str">
        <x:f>IF(A209="","",IF(S209&lt;&gt;"Ready","Incomplete",IF(COUNTIFS($Q$8:$Q$257,Q209,$S$8:$S$257,"Ready",$B$8:$B$257,"&lt;"&amp;B209)&gt;0,0,IF(COUNTIFS($Q$8:Q209,Q209,$S$8:S209,"Ready",$B$8:B209,B209)=1,1,0))))</x:f>
      </x:c>
      <x:c r="S209" s="44" t="str">
        <x:f>IF(A209="","",IF(COUNTIFS($A$8:$A$257,A209)&gt;1,"Duplicate ID",IF(OR(NOT(ISNUMBER(B209)),C209="",E209="",H209="",P209="",AND(OR(H209="First contact",H209="Reply",H209="Positive reply",H209="Permission confirmed"),D209=""),AND(OR(H209="First contact",H209="Permission confirmed"),OR(T209&lt;&gt;"Reviewed and confirmed",U209="",V209="")),AND(H209="Fit qualified",OR(J209&lt;&gt;"Qualified",K209="",M209="",N209="",NOT(ISNUMBER(O209)))),AND(H209="Route recommended",K209=""),AND(OR(H209="Objection",H209="No fit",H209="Lost"),L209="")),"Incomplete","Ready")))</x:f>
      </x:c>
      <x:c r="T209" s="42"/>
      <x:c r="U209" s="42"/>
      <x:c r="V209" s="42"/>
    </x:row>
    <x:row r="210" ht="23" customHeight="1">
      <x:c r="A210" s="42"/>
      <x:c r="B210" s="43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3"/>
      <x:c r="P210" s="42"/>
      <x:c r="Q210" s="44" t="str">
        <x:f>IF(A210="","",IF(OR(H210="First contact",H210="Reply",H210="Positive reply",H210="Permission confirmed"),"C|"&amp;D210&amp;"|"&amp;H210,"O|"&amp;C210&amp;"|"&amp;H210))</x:f>
      </x:c>
      <x:c r="R210" s="44" t="str">
        <x:f>IF(A210="","",IF(S210&lt;&gt;"Ready","Incomplete",IF(COUNTIFS($Q$8:$Q$257,Q210,$S$8:$S$257,"Ready",$B$8:$B$257,"&lt;"&amp;B210)&gt;0,0,IF(COUNTIFS($Q$8:Q210,Q210,$S$8:S210,"Ready",$B$8:B210,B210)=1,1,0))))</x:f>
      </x:c>
      <x:c r="S210" s="44" t="str">
        <x:f>IF(A210="","",IF(COUNTIFS($A$8:$A$257,A210)&gt;1,"Duplicate ID",IF(OR(NOT(ISNUMBER(B210)),C210="",E210="",H210="",P210="",AND(OR(H210="First contact",H210="Reply",H210="Positive reply",H210="Permission confirmed"),D210=""),AND(OR(H210="First contact",H210="Permission confirmed"),OR(T210&lt;&gt;"Reviewed and confirmed",U210="",V210="")),AND(H210="Fit qualified",OR(J210&lt;&gt;"Qualified",K210="",M210="",N210="",NOT(ISNUMBER(O210)))),AND(H210="Route recommended",K210=""),AND(OR(H210="Objection",H210="No fit",H210="Lost"),L210="")),"Incomplete","Ready")))</x:f>
      </x:c>
      <x:c r="T210" s="42"/>
      <x:c r="U210" s="42"/>
      <x:c r="V210" s="42"/>
    </x:row>
    <x:row r="211" ht="23" customHeight="1">
      <x:c r="A211" s="42"/>
      <x:c r="B211" s="43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3"/>
      <x:c r="P211" s="42"/>
      <x:c r="Q211" s="44" t="str">
        <x:f>IF(A211="","",IF(OR(H211="First contact",H211="Reply",H211="Positive reply",H211="Permission confirmed"),"C|"&amp;D211&amp;"|"&amp;H211,"O|"&amp;C211&amp;"|"&amp;H211))</x:f>
      </x:c>
      <x:c r="R211" s="44" t="str">
        <x:f>IF(A211="","",IF(S211&lt;&gt;"Ready","Incomplete",IF(COUNTIFS($Q$8:$Q$257,Q211,$S$8:$S$257,"Ready",$B$8:$B$257,"&lt;"&amp;B211)&gt;0,0,IF(COUNTIFS($Q$8:Q211,Q211,$S$8:S211,"Ready",$B$8:B211,B211)=1,1,0))))</x:f>
      </x:c>
      <x:c r="S211" s="44" t="str">
        <x:f>IF(A211="","",IF(COUNTIFS($A$8:$A$257,A211)&gt;1,"Duplicate ID",IF(OR(NOT(ISNUMBER(B211)),C211="",E211="",H211="",P211="",AND(OR(H211="First contact",H211="Reply",H211="Positive reply",H211="Permission confirmed"),D211=""),AND(OR(H211="First contact",H211="Permission confirmed"),OR(T211&lt;&gt;"Reviewed and confirmed",U211="",V211="")),AND(H211="Fit qualified",OR(J211&lt;&gt;"Qualified",K211="",M211="",N211="",NOT(ISNUMBER(O211)))),AND(H211="Route recommended",K211=""),AND(OR(H211="Objection",H211="No fit",H211="Lost"),L211="")),"Incomplete","Ready")))</x:f>
      </x:c>
      <x:c r="T211" s="42"/>
      <x:c r="U211" s="42"/>
      <x:c r="V211" s="42"/>
    </x:row>
    <x:row r="212" ht="23" customHeight="1">
      <x:c r="A212" s="42"/>
      <x:c r="B212" s="43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3"/>
      <x:c r="P212" s="42"/>
      <x:c r="Q212" s="44" t="str">
        <x:f>IF(A212="","",IF(OR(H212="First contact",H212="Reply",H212="Positive reply",H212="Permission confirmed"),"C|"&amp;D212&amp;"|"&amp;H212,"O|"&amp;C212&amp;"|"&amp;H212))</x:f>
      </x:c>
      <x:c r="R212" s="44" t="str">
        <x:f>IF(A212="","",IF(S212&lt;&gt;"Ready","Incomplete",IF(COUNTIFS($Q$8:$Q$257,Q212,$S$8:$S$257,"Ready",$B$8:$B$257,"&lt;"&amp;B212)&gt;0,0,IF(COUNTIFS($Q$8:Q212,Q212,$S$8:S212,"Ready",$B$8:B212,B212)=1,1,0))))</x:f>
      </x:c>
      <x:c r="S212" s="44" t="str">
        <x:f>IF(A212="","",IF(COUNTIFS($A$8:$A$257,A212)&gt;1,"Duplicate ID",IF(OR(NOT(ISNUMBER(B212)),C212="",E212="",H212="",P212="",AND(OR(H212="First contact",H212="Reply",H212="Positive reply",H212="Permission confirmed"),D212=""),AND(OR(H212="First contact",H212="Permission confirmed"),OR(T212&lt;&gt;"Reviewed and confirmed",U212="",V212="")),AND(H212="Fit qualified",OR(J212&lt;&gt;"Qualified",K212="",M212="",N212="",NOT(ISNUMBER(O212)))),AND(H212="Route recommended",K212=""),AND(OR(H212="Objection",H212="No fit",H212="Lost"),L212="")),"Incomplete","Ready")))</x:f>
      </x:c>
      <x:c r="T212" s="42"/>
      <x:c r="U212" s="42"/>
      <x:c r="V212" s="42"/>
    </x:row>
    <x:row r="213" ht="23" customHeight="1">
      <x:c r="A213" s="42"/>
      <x:c r="B213" s="43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3"/>
      <x:c r="P213" s="42"/>
      <x:c r="Q213" s="44" t="str">
        <x:f>IF(A213="","",IF(OR(H213="First contact",H213="Reply",H213="Positive reply",H213="Permission confirmed"),"C|"&amp;D213&amp;"|"&amp;H213,"O|"&amp;C213&amp;"|"&amp;H213))</x:f>
      </x:c>
      <x:c r="R213" s="44" t="str">
        <x:f>IF(A213="","",IF(S213&lt;&gt;"Ready","Incomplete",IF(COUNTIFS($Q$8:$Q$257,Q213,$S$8:$S$257,"Ready",$B$8:$B$257,"&lt;"&amp;B213)&gt;0,0,IF(COUNTIFS($Q$8:Q213,Q213,$S$8:S213,"Ready",$B$8:B213,B213)=1,1,0))))</x:f>
      </x:c>
      <x:c r="S213" s="44" t="str">
        <x:f>IF(A213="","",IF(COUNTIFS($A$8:$A$257,A213)&gt;1,"Duplicate ID",IF(OR(NOT(ISNUMBER(B213)),C213="",E213="",H213="",P213="",AND(OR(H213="First contact",H213="Reply",H213="Positive reply",H213="Permission confirmed"),D213=""),AND(OR(H213="First contact",H213="Permission confirmed"),OR(T213&lt;&gt;"Reviewed and confirmed",U213="",V213="")),AND(H213="Fit qualified",OR(J213&lt;&gt;"Qualified",K213="",M213="",N213="",NOT(ISNUMBER(O213)))),AND(H213="Route recommended",K213=""),AND(OR(H213="Objection",H213="No fit",H213="Lost"),L213="")),"Incomplete","Ready")))</x:f>
      </x:c>
      <x:c r="T213" s="42"/>
      <x:c r="U213" s="42"/>
      <x:c r="V213" s="42"/>
    </x:row>
    <x:row r="214" ht="23" customHeight="1">
      <x:c r="A214" s="42"/>
      <x:c r="B214" s="43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3"/>
      <x:c r="P214" s="42"/>
      <x:c r="Q214" s="44" t="str">
        <x:f>IF(A214="","",IF(OR(H214="First contact",H214="Reply",H214="Positive reply",H214="Permission confirmed"),"C|"&amp;D214&amp;"|"&amp;H214,"O|"&amp;C214&amp;"|"&amp;H214))</x:f>
      </x:c>
      <x:c r="R214" s="44" t="str">
        <x:f>IF(A214="","",IF(S214&lt;&gt;"Ready","Incomplete",IF(COUNTIFS($Q$8:$Q$257,Q214,$S$8:$S$257,"Ready",$B$8:$B$257,"&lt;"&amp;B214)&gt;0,0,IF(COUNTIFS($Q$8:Q214,Q214,$S$8:S214,"Ready",$B$8:B214,B214)=1,1,0))))</x:f>
      </x:c>
      <x:c r="S214" s="44" t="str">
        <x:f>IF(A214="","",IF(COUNTIFS($A$8:$A$257,A214)&gt;1,"Duplicate ID",IF(OR(NOT(ISNUMBER(B214)),C214="",E214="",H214="",P214="",AND(OR(H214="First contact",H214="Reply",H214="Positive reply",H214="Permission confirmed"),D214=""),AND(OR(H214="First contact",H214="Permission confirmed"),OR(T214&lt;&gt;"Reviewed and confirmed",U214="",V214="")),AND(H214="Fit qualified",OR(J214&lt;&gt;"Qualified",K214="",M214="",N214="",NOT(ISNUMBER(O214)))),AND(H214="Route recommended",K214=""),AND(OR(H214="Objection",H214="No fit",H214="Lost"),L214="")),"Incomplete","Ready")))</x:f>
      </x:c>
      <x:c r="T214" s="42"/>
      <x:c r="U214" s="42"/>
      <x:c r="V214" s="42"/>
    </x:row>
    <x:row r="215" ht="23" customHeight="1">
      <x:c r="A215" s="42"/>
      <x:c r="B215" s="43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3"/>
      <x:c r="P215" s="42"/>
      <x:c r="Q215" s="44" t="str">
        <x:f>IF(A215="","",IF(OR(H215="First contact",H215="Reply",H215="Positive reply",H215="Permission confirmed"),"C|"&amp;D215&amp;"|"&amp;H215,"O|"&amp;C215&amp;"|"&amp;H215))</x:f>
      </x:c>
      <x:c r="R215" s="44" t="str">
        <x:f>IF(A215="","",IF(S215&lt;&gt;"Ready","Incomplete",IF(COUNTIFS($Q$8:$Q$257,Q215,$S$8:$S$257,"Ready",$B$8:$B$257,"&lt;"&amp;B215)&gt;0,0,IF(COUNTIFS($Q$8:Q215,Q215,$S$8:S215,"Ready",$B$8:B215,B215)=1,1,0))))</x:f>
      </x:c>
      <x:c r="S215" s="44" t="str">
        <x:f>IF(A215="","",IF(COUNTIFS($A$8:$A$257,A215)&gt;1,"Duplicate ID",IF(OR(NOT(ISNUMBER(B215)),C215="",E215="",H215="",P215="",AND(OR(H215="First contact",H215="Reply",H215="Positive reply",H215="Permission confirmed"),D215=""),AND(OR(H215="First contact",H215="Permission confirmed"),OR(T215&lt;&gt;"Reviewed and confirmed",U215="",V215="")),AND(H215="Fit qualified",OR(J215&lt;&gt;"Qualified",K215="",M215="",N215="",NOT(ISNUMBER(O215)))),AND(H215="Route recommended",K215=""),AND(OR(H215="Objection",H215="No fit",H215="Lost"),L215="")),"Incomplete","Ready")))</x:f>
      </x:c>
      <x:c r="T215" s="42"/>
      <x:c r="U215" s="42"/>
      <x:c r="V215" s="42"/>
    </x:row>
    <x:row r="216" ht="23" customHeight="1">
      <x:c r="A216" s="42"/>
      <x:c r="B216" s="43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3"/>
      <x:c r="P216" s="42"/>
      <x:c r="Q216" s="44" t="str">
        <x:f>IF(A216="","",IF(OR(H216="First contact",H216="Reply",H216="Positive reply",H216="Permission confirmed"),"C|"&amp;D216&amp;"|"&amp;H216,"O|"&amp;C216&amp;"|"&amp;H216))</x:f>
      </x:c>
      <x:c r="R216" s="44" t="str">
        <x:f>IF(A216="","",IF(S216&lt;&gt;"Ready","Incomplete",IF(COUNTIFS($Q$8:$Q$257,Q216,$S$8:$S$257,"Ready",$B$8:$B$257,"&lt;"&amp;B216)&gt;0,0,IF(COUNTIFS($Q$8:Q216,Q216,$S$8:S216,"Ready",$B$8:B216,B216)=1,1,0))))</x:f>
      </x:c>
      <x:c r="S216" s="44" t="str">
        <x:f>IF(A216="","",IF(COUNTIFS($A$8:$A$257,A216)&gt;1,"Duplicate ID",IF(OR(NOT(ISNUMBER(B216)),C216="",E216="",H216="",P216="",AND(OR(H216="First contact",H216="Reply",H216="Positive reply",H216="Permission confirmed"),D216=""),AND(OR(H216="First contact",H216="Permission confirmed"),OR(T216&lt;&gt;"Reviewed and confirmed",U216="",V216="")),AND(H216="Fit qualified",OR(J216&lt;&gt;"Qualified",K216="",M216="",N216="",NOT(ISNUMBER(O216)))),AND(H216="Route recommended",K216=""),AND(OR(H216="Objection",H216="No fit",H216="Lost"),L216="")),"Incomplete","Ready")))</x:f>
      </x:c>
      <x:c r="T216" s="42"/>
      <x:c r="U216" s="42"/>
      <x:c r="V216" s="42"/>
    </x:row>
    <x:row r="217" ht="23" customHeight="1">
      <x:c r="A217" s="42"/>
      <x:c r="B217" s="43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3"/>
      <x:c r="P217" s="42"/>
      <x:c r="Q217" s="44" t="str">
        <x:f>IF(A217="","",IF(OR(H217="First contact",H217="Reply",H217="Positive reply",H217="Permission confirmed"),"C|"&amp;D217&amp;"|"&amp;H217,"O|"&amp;C217&amp;"|"&amp;H217))</x:f>
      </x:c>
      <x:c r="R217" s="44" t="str">
        <x:f>IF(A217="","",IF(S217&lt;&gt;"Ready","Incomplete",IF(COUNTIFS($Q$8:$Q$257,Q217,$S$8:$S$257,"Ready",$B$8:$B$257,"&lt;"&amp;B217)&gt;0,0,IF(COUNTIFS($Q$8:Q217,Q217,$S$8:S217,"Ready",$B$8:B217,B217)=1,1,0))))</x:f>
      </x:c>
      <x:c r="S217" s="44" t="str">
        <x:f>IF(A217="","",IF(COUNTIFS($A$8:$A$257,A217)&gt;1,"Duplicate ID",IF(OR(NOT(ISNUMBER(B217)),C217="",E217="",H217="",P217="",AND(OR(H217="First contact",H217="Reply",H217="Positive reply",H217="Permission confirmed"),D217=""),AND(OR(H217="First contact",H217="Permission confirmed"),OR(T217&lt;&gt;"Reviewed and confirmed",U217="",V217="")),AND(H217="Fit qualified",OR(J217&lt;&gt;"Qualified",K217="",M217="",N217="",NOT(ISNUMBER(O217)))),AND(H217="Route recommended",K217=""),AND(OR(H217="Objection",H217="No fit",H217="Lost"),L217="")),"Incomplete","Ready")))</x:f>
      </x:c>
      <x:c r="T217" s="42"/>
      <x:c r="U217" s="42"/>
      <x:c r="V217" s="42"/>
    </x:row>
    <x:row r="218" ht="23" customHeight="1">
      <x:c r="A218" s="42"/>
      <x:c r="B218" s="43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3"/>
      <x:c r="P218" s="42"/>
      <x:c r="Q218" s="44" t="str">
        <x:f>IF(A218="","",IF(OR(H218="First contact",H218="Reply",H218="Positive reply",H218="Permission confirmed"),"C|"&amp;D218&amp;"|"&amp;H218,"O|"&amp;C218&amp;"|"&amp;H218))</x:f>
      </x:c>
      <x:c r="R218" s="44" t="str">
        <x:f>IF(A218="","",IF(S218&lt;&gt;"Ready","Incomplete",IF(COUNTIFS($Q$8:$Q$257,Q218,$S$8:$S$257,"Ready",$B$8:$B$257,"&lt;"&amp;B218)&gt;0,0,IF(COUNTIFS($Q$8:Q218,Q218,$S$8:S218,"Ready",$B$8:B218,B218)=1,1,0))))</x:f>
      </x:c>
      <x:c r="S218" s="44" t="str">
        <x:f>IF(A218="","",IF(COUNTIFS($A$8:$A$257,A218)&gt;1,"Duplicate ID",IF(OR(NOT(ISNUMBER(B218)),C218="",E218="",H218="",P218="",AND(OR(H218="First contact",H218="Reply",H218="Positive reply",H218="Permission confirmed"),D218=""),AND(OR(H218="First contact",H218="Permission confirmed"),OR(T218&lt;&gt;"Reviewed and confirmed",U218="",V218="")),AND(H218="Fit qualified",OR(J218&lt;&gt;"Qualified",K218="",M218="",N218="",NOT(ISNUMBER(O218)))),AND(H218="Route recommended",K218=""),AND(OR(H218="Objection",H218="No fit",H218="Lost"),L218="")),"Incomplete","Ready")))</x:f>
      </x:c>
      <x:c r="T218" s="42"/>
      <x:c r="U218" s="42"/>
      <x:c r="V218" s="42"/>
    </x:row>
    <x:row r="219" ht="23" customHeight="1">
      <x:c r="A219" s="42"/>
      <x:c r="B219" s="43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3"/>
      <x:c r="P219" s="42"/>
      <x:c r="Q219" s="44" t="str">
        <x:f>IF(A219="","",IF(OR(H219="First contact",H219="Reply",H219="Positive reply",H219="Permission confirmed"),"C|"&amp;D219&amp;"|"&amp;H219,"O|"&amp;C219&amp;"|"&amp;H219))</x:f>
      </x:c>
      <x:c r="R219" s="44" t="str">
        <x:f>IF(A219="","",IF(S219&lt;&gt;"Ready","Incomplete",IF(COUNTIFS($Q$8:$Q$257,Q219,$S$8:$S$257,"Ready",$B$8:$B$257,"&lt;"&amp;B219)&gt;0,0,IF(COUNTIFS($Q$8:Q219,Q219,$S$8:S219,"Ready",$B$8:B219,B219)=1,1,0))))</x:f>
      </x:c>
      <x:c r="S219" s="44" t="str">
        <x:f>IF(A219="","",IF(COUNTIFS($A$8:$A$257,A219)&gt;1,"Duplicate ID",IF(OR(NOT(ISNUMBER(B219)),C219="",E219="",H219="",P219="",AND(OR(H219="First contact",H219="Reply",H219="Positive reply",H219="Permission confirmed"),D219=""),AND(OR(H219="First contact",H219="Permission confirmed"),OR(T219&lt;&gt;"Reviewed and confirmed",U219="",V219="")),AND(H219="Fit qualified",OR(J219&lt;&gt;"Qualified",K219="",M219="",N219="",NOT(ISNUMBER(O219)))),AND(H219="Route recommended",K219=""),AND(OR(H219="Objection",H219="No fit",H219="Lost"),L219="")),"Incomplete","Ready")))</x:f>
      </x:c>
      <x:c r="T219" s="42"/>
      <x:c r="U219" s="42"/>
      <x:c r="V219" s="42"/>
    </x:row>
    <x:row r="220" ht="23" customHeight="1">
      <x:c r="A220" s="42"/>
      <x:c r="B220" s="43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3"/>
      <x:c r="P220" s="42"/>
      <x:c r="Q220" s="44" t="str">
        <x:f>IF(A220="","",IF(OR(H220="First contact",H220="Reply",H220="Positive reply",H220="Permission confirmed"),"C|"&amp;D220&amp;"|"&amp;H220,"O|"&amp;C220&amp;"|"&amp;H220))</x:f>
      </x:c>
      <x:c r="R220" s="44" t="str">
        <x:f>IF(A220="","",IF(S220&lt;&gt;"Ready","Incomplete",IF(COUNTIFS($Q$8:$Q$257,Q220,$S$8:$S$257,"Ready",$B$8:$B$257,"&lt;"&amp;B220)&gt;0,0,IF(COUNTIFS($Q$8:Q220,Q220,$S$8:S220,"Ready",$B$8:B220,B220)=1,1,0))))</x:f>
      </x:c>
      <x:c r="S220" s="44" t="str">
        <x:f>IF(A220="","",IF(COUNTIFS($A$8:$A$257,A220)&gt;1,"Duplicate ID",IF(OR(NOT(ISNUMBER(B220)),C220="",E220="",H220="",P220="",AND(OR(H220="First contact",H220="Reply",H220="Positive reply",H220="Permission confirmed"),D220=""),AND(OR(H220="First contact",H220="Permission confirmed"),OR(T220&lt;&gt;"Reviewed and confirmed",U220="",V220="")),AND(H220="Fit qualified",OR(J220&lt;&gt;"Qualified",K220="",M220="",N220="",NOT(ISNUMBER(O220)))),AND(H220="Route recommended",K220=""),AND(OR(H220="Objection",H220="No fit",H220="Lost"),L220="")),"Incomplete","Ready")))</x:f>
      </x:c>
      <x:c r="T220" s="42"/>
      <x:c r="U220" s="42"/>
      <x:c r="V220" s="42"/>
    </x:row>
    <x:row r="221" ht="23" customHeight="1">
      <x:c r="A221" s="42"/>
      <x:c r="B221" s="43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3"/>
      <x:c r="P221" s="42"/>
      <x:c r="Q221" s="44" t="str">
        <x:f>IF(A221="","",IF(OR(H221="First contact",H221="Reply",H221="Positive reply",H221="Permission confirmed"),"C|"&amp;D221&amp;"|"&amp;H221,"O|"&amp;C221&amp;"|"&amp;H221))</x:f>
      </x:c>
      <x:c r="R221" s="44" t="str">
        <x:f>IF(A221="","",IF(S221&lt;&gt;"Ready","Incomplete",IF(COUNTIFS($Q$8:$Q$257,Q221,$S$8:$S$257,"Ready",$B$8:$B$257,"&lt;"&amp;B221)&gt;0,0,IF(COUNTIFS($Q$8:Q221,Q221,$S$8:S221,"Ready",$B$8:B221,B221)=1,1,0))))</x:f>
      </x:c>
      <x:c r="S221" s="44" t="str">
        <x:f>IF(A221="","",IF(COUNTIFS($A$8:$A$257,A221)&gt;1,"Duplicate ID",IF(OR(NOT(ISNUMBER(B221)),C221="",E221="",H221="",P221="",AND(OR(H221="First contact",H221="Reply",H221="Positive reply",H221="Permission confirmed"),D221=""),AND(OR(H221="First contact",H221="Permission confirmed"),OR(T221&lt;&gt;"Reviewed and confirmed",U221="",V221="")),AND(H221="Fit qualified",OR(J221&lt;&gt;"Qualified",K221="",M221="",N221="",NOT(ISNUMBER(O221)))),AND(H221="Route recommended",K221=""),AND(OR(H221="Objection",H221="No fit",H221="Lost"),L221="")),"Incomplete","Ready")))</x:f>
      </x:c>
      <x:c r="T221" s="42"/>
      <x:c r="U221" s="42"/>
      <x:c r="V221" s="42"/>
    </x:row>
    <x:row r="222" ht="23" customHeight="1">
      <x:c r="A222" s="42"/>
      <x:c r="B222" s="43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3"/>
      <x:c r="P222" s="42"/>
      <x:c r="Q222" s="44" t="str">
        <x:f>IF(A222="","",IF(OR(H222="First contact",H222="Reply",H222="Positive reply",H222="Permission confirmed"),"C|"&amp;D222&amp;"|"&amp;H222,"O|"&amp;C222&amp;"|"&amp;H222))</x:f>
      </x:c>
      <x:c r="R222" s="44" t="str">
        <x:f>IF(A222="","",IF(S222&lt;&gt;"Ready","Incomplete",IF(COUNTIFS($Q$8:$Q$257,Q222,$S$8:$S$257,"Ready",$B$8:$B$257,"&lt;"&amp;B222)&gt;0,0,IF(COUNTIFS($Q$8:Q222,Q222,$S$8:S222,"Ready",$B$8:B222,B222)=1,1,0))))</x:f>
      </x:c>
      <x:c r="S222" s="44" t="str">
        <x:f>IF(A222="","",IF(COUNTIFS($A$8:$A$257,A222)&gt;1,"Duplicate ID",IF(OR(NOT(ISNUMBER(B222)),C222="",E222="",H222="",P222="",AND(OR(H222="First contact",H222="Reply",H222="Positive reply",H222="Permission confirmed"),D222=""),AND(OR(H222="First contact",H222="Permission confirmed"),OR(T222&lt;&gt;"Reviewed and confirmed",U222="",V222="")),AND(H222="Fit qualified",OR(J222&lt;&gt;"Qualified",K222="",M222="",N222="",NOT(ISNUMBER(O222)))),AND(H222="Route recommended",K222=""),AND(OR(H222="Objection",H222="No fit",H222="Lost"),L222="")),"Incomplete","Ready")))</x:f>
      </x:c>
      <x:c r="T222" s="42"/>
      <x:c r="U222" s="42"/>
      <x:c r="V222" s="42"/>
    </x:row>
    <x:row r="223" ht="23" customHeight="1">
      <x:c r="A223" s="42"/>
      <x:c r="B223" s="43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3"/>
      <x:c r="P223" s="42"/>
      <x:c r="Q223" s="44" t="str">
        <x:f>IF(A223="","",IF(OR(H223="First contact",H223="Reply",H223="Positive reply",H223="Permission confirmed"),"C|"&amp;D223&amp;"|"&amp;H223,"O|"&amp;C223&amp;"|"&amp;H223))</x:f>
      </x:c>
      <x:c r="R223" s="44" t="str">
        <x:f>IF(A223="","",IF(S223&lt;&gt;"Ready","Incomplete",IF(COUNTIFS($Q$8:$Q$257,Q223,$S$8:$S$257,"Ready",$B$8:$B$257,"&lt;"&amp;B223)&gt;0,0,IF(COUNTIFS($Q$8:Q223,Q223,$S$8:S223,"Ready",$B$8:B223,B223)=1,1,0))))</x:f>
      </x:c>
      <x:c r="S223" s="44" t="str">
        <x:f>IF(A223="","",IF(COUNTIFS($A$8:$A$257,A223)&gt;1,"Duplicate ID",IF(OR(NOT(ISNUMBER(B223)),C223="",E223="",H223="",P223="",AND(OR(H223="First contact",H223="Reply",H223="Positive reply",H223="Permission confirmed"),D223=""),AND(OR(H223="First contact",H223="Permission confirmed"),OR(T223&lt;&gt;"Reviewed and confirmed",U223="",V223="")),AND(H223="Fit qualified",OR(J223&lt;&gt;"Qualified",K223="",M223="",N223="",NOT(ISNUMBER(O223)))),AND(H223="Route recommended",K223=""),AND(OR(H223="Objection",H223="No fit",H223="Lost"),L223="")),"Incomplete","Ready")))</x:f>
      </x:c>
      <x:c r="T223" s="42"/>
      <x:c r="U223" s="42"/>
      <x:c r="V223" s="42"/>
    </x:row>
    <x:row r="224" ht="23" customHeight="1">
      <x:c r="A224" s="42"/>
      <x:c r="B224" s="43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3"/>
      <x:c r="P224" s="42"/>
      <x:c r="Q224" s="44" t="str">
        <x:f>IF(A224="","",IF(OR(H224="First contact",H224="Reply",H224="Positive reply",H224="Permission confirmed"),"C|"&amp;D224&amp;"|"&amp;H224,"O|"&amp;C224&amp;"|"&amp;H224))</x:f>
      </x:c>
      <x:c r="R224" s="44" t="str">
        <x:f>IF(A224="","",IF(S224&lt;&gt;"Ready","Incomplete",IF(COUNTIFS($Q$8:$Q$257,Q224,$S$8:$S$257,"Ready",$B$8:$B$257,"&lt;"&amp;B224)&gt;0,0,IF(COUNTIFS($Q$8:Q224,Q224,$S$8:S224,"Ready",$B$8:B224,B224)=1,1,0))))</x:f>
      </x:c>
      <x:c r="S224" s="44" t="str">
        <x:f>IF(A224="","",IF(COUNTIFS($A$8:$A$257,A224)&gt;1,"Duplicate ID",IF(OR(NOT(ISNUMBER(B224)),C224="",E224="",H224="",P224="",AND(OR(H224="First contact",H224="Reply",H224="Positive reply",H224="Permission confirmed"),D224=""),AND(OR(H224="First contact",H224="Permission confirmed"),OR(T224&lt;&gt;"Reviewed and confirmed",U224="",V224="")),AND(H224="Fit qualified",OR(J224&lt;&gt;"Qualified",K224="",M224="",N224="",NOT(ISNUMBER(O224)))),AND(H224="Route recommended",K224=""),AND(OR(H224="Objection",H224="No fit",H224="Lost"),L224="")),"Incomplete","Ready")))</x:f>
      </x:c>
      <x:c r="T224" s="42"/>
      <x:c r="U224" s="42"/>
      <x:c r="V224" s="42"/>
    </x:row>
    <x:row r="225" ht="23" customHeight="1">
      <x:c r="A225" s="42"/>
      <x:c r="B225" s="43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3"/>
      <x:c r="P225" s="42"/>
      <x:c r="Q225" s="44" t="str">
        <x:f>IF(A225="","",IF(OR(H225="First contact",H225="Reply",H225="Positive reply",H225="Permission confirmed"),"C|"&amp;D225&amp;"|"&amp;H225,"O|"&amp;C225&amp;"|"&amp;H225))</x:f>
      </x:c>
      <x:c r="R225" s="44" t="str">
        <x:f>IF(A225="","",IF(S225&lt;&gt;"Ready","Incomplete",IF(COUNTIFS($Q$8:$Q$257,Q225,$S$8:$S$257,"Ready",$B$8:$B$257,"&lt;"&amp;B225)&gt;0,0,IF(COUNTIFS($Q$8:Q225,Q225,$S$8:S225,"Ready",$B$8:B225,B225)=1,1,0))))</x:f>
      </x:c>
      <x:c r="S225" s="44" t="str">
        <x:f>IF(A225="","",IF(COUNTIFS($A$8:$A$257,A225)&gt;1,"Duplicate ID",IF(OR(NOT(ISNUMBER(B225)),C225="",E225="",H225="",P225="",AND(OR(H225="First contact",H225="Reply",H225="Positive reply",H225="Permission confirmed"),D225=""),AND(OR(H225="First contact",H225="Permission confirmed"),OR(T225&lt;&gt;"Reviewed and confirmed",U225="",V225="")),AND(H225="Fit qualified",OR(J225&lt;&gt;"Qualified",K225="",M225="",N225="",NOT(ISNUMBER(O225)))),AND(H225="Route recommended",K225=""),AND(OR(H225="Objection",H225="No fit",H225="Lost"),L225="")),"Incomplete","Ready")))</x:f>
      </x:c>
      <x:c r="T225" s="42"/>
      <x:c r="U225" s="42"/>
      <x:c r="V225" s="42"/>
    </x:row>
    <x:row r="226" ht="23" customHeight="1">
      <x:c r="A226" s="42"/>
      <x:c r="B226" s="43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3"/>
      <x:c r="P226" s="42"/>
      <x:c r="Q226" s="44" t="str">
        <x:f>IF(A226="","",IF(OR(H226="First contact",H226="Reply",H226="Positive reply",H226="Permission confirmed"),"C|"&amp;D226&amp;"|"&amp;H226,"O|"&amp;C226&amp;"|"&amp;H226))</x:f>
      </x:c>
      <x:c r="R226" s="44" t="str">
        <x:f>IF(A226="","",IF(S226&lt;&gt;"Ready","Incomplete",IF(COUNTIFS($Q$8:$Q$257,Q226,$S$8:$S$257,"Ready",$B$8:$B$257,"&lt;"&amp;B226)&gt;0,0,IF(COUNTIFS($Q$8:Q226,Q226,$S$8:S226,"Ready",$B$8:B226,B226)=1,1,0))))</x:f>
      </x:c>
      <x:c r="S226" s="44" t="str">
        <x:f>IF(A226="","",IF(COUNTIFS($A$8:$A$257,A226)&gt;1,"Duplicate ID",IF(OR(NOT(ISNUMBER(B226)),C226="",E226="",H226="",P226="",AND(OR(H226="First contact",H226="Reply",H226="Positive reply",H226="Permission confirmed"),D226=""),AND(OR(H226="First contact",H226="Permission confirmed"),OR(T226&lt;&gt;"Reviewed and confirmed",U226="",V226="")),AND(H226="Fit qualified",OR(J226&lt;&gt;"Qualified",K226="",M226="",N226="",NOT(ISNUMBER(O226)))),AND(H226="Route recommended",K226=""),AND(OR(H226="Objection",H226="No fit",H226="Lost"),L226="")),"Incomplete","Ready")))</x:f>
      </x:c>
      <x:c r="T226" s="42"/>
      <x:c r="U226" s="42"/>
      <x:c r="V226" s="42"/>
    </x:row>
    <x:row r="227" ht="23" customHeight="1">
      <x:c r="A227" s="42"/>
      <x:c r="B227" s="43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3"/>
      <x:c r="P227" s="42"/>
      <x:c r="Q227" s="44" t="str">
        <x:f>IF(A227="","",IF(OR(H227="First contact",H227="Reply",H227="Positive reply",H227="Permission confirmed"),"C|"&amp;D227&amp;"|"&amp;H227,"O|"&amp;C227&amp;"|"&amp;H227))</x:f>
      </x:c>
      <x:c r="R227" s="44" t="str">
        <x:f>IF(A227="","",IF(S227&lt;&gt;"Ready","Incomplete",IF(COUNTIFS($Q$8:$Q$257,Q227,$S$8:$S$257,"Ready",$B$8:$B$257,"&lt;"&amp;B227)&gt;0,0,IF(COUNTIFS($Q$8:Q227,Q227,$S$8:S227,"Ready",$B$8:B227,B227)=1,1,0))))</x:f>
      </x:c>
      <x:c r="S227" s="44" t="str">
        <x:f>IF(A227="","",IF(COUNTIFS($A$8:$A$257,A227)&gt;1,"Duplicate ID",IF(OR(NOT(ISNUMBER(B227)),C227="",E227="",H227="",P227="",AND(OR(H227="First contact",H227="Reply",H227="Positive reply",H227="Permission confirmed"),D227=""),AND(OR(H227="First contact",H227="Permission confirmed"),OR(T227&lt;&gt;"Reviewed and confirmed",U227="",V227="")),AND(H227="Fit qualified",OR(J227&lt;&gt;"Qualified",K227="",M227="",N227="",NOT(ISNUMBER(O227)))),AND(H227="Route recommended",K227=""),AND(OR(H227="Objection",H227="No fit",H227="Lost"),L227="")),"Incomplete","Ready")))</x:f>
      </x:c>
      <x:c r="T227" s="42"/>
      <x:c r="U227" s="42"/>
      <x:c r="V227" s="42"/>
    </x:row>
    <x:row r="228" ht="23" customHeight="1">
      <x:c r="A228" s="42"/>
      <x:c r="B228" s="43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3"/>
      <x:c r="P228" s="42"/>
      <x:c r="Q228" s="44" t="str">
        <x:f>IF(A228="","",IF(OR(H228="First contact",H228="Reply",H228="Positive reply",H228="Permission confirmed"),"C|"&amp;D228&amp;"|"&amp;H228,"O|"&amp;C228&amp;"|"&amp;H228))</x:f>
      </x:c>
      <x:c r="R228" s="44" t="str">
        <x:f>IF(A228="","",IF(S228&lt;&gt;"Ready","Incomplete",IF(COUNTIFS($Q$8:$Q$257,Q228,$S$8:$S$257,"Ready",$B$8:$B$257,"&lt;"&amp;B228)&gt;0,0,IF(COUNTIFS($Q$8:Q228,Q228,$S$8:S228,"Ready",$B$8:B228,B228)=1,1,0))))</x:f>
      </x:c>
      <x:c r="S228" s="44" t="str">
        <x:f>IF(A228="","",IF(COUNTIFS($A$8:$A$257,A228)&gt;1,"Duplicate ID",IF(OR(NOT(ISNUMBER(B228)),C228="",E228="",H228="",P228="",AND(OR(H228="First contact",H228="Reply",H228="Positive reply",H228="Permission confirmed"),D228=""),AND(OR(H228="First contact",H228="Permission confirmed"),OR(T228&lt;&gt;"Reviewed and confirmed",U228="",V228="")),AND(H228="Fit qualified",OR(J228&lt;&gt;"Qualified",K228="",M228="",N228="",NOT(ISNUMBER(O228)))),AND(H228="Route recommended",K228=""),AND(OR(H228="Objection",H228="No fit",H228="Lost"),L228="")),"Incomplete","Ready")))</x:f>
      </x:c>
      <x:c r="T228" s="42"/>
      <x:c r="U228" s="42"/>
      <x:c r="V228" s="42"/>
    </x:row>
    <x:row r="229" ht="23" customHeight="1">
      <x:c r="A229" s="42"/>
      <x:c r="B229" s="43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3"/>
      <x:c r="P229" s="42"/>
      <x:c r="Q229" s="44" t="str">
        <x:f>IF(A229="","",IF(OR(H229="First contact",H229="Reply",H229="Positive reply",H229="Permission confirmed"),"C|"&amp;D229&amp;"|"&amp;H229,"O|"&amp;C229&amp;"|"&amp;H229))</x:f>
      </x:c>
      <x:c r="R229" s="44" t="str">
        <x:f>IF(A229="","",IF(S229&lt;&gt;"Ready","Incomplete",IF(COUNTIFS($Q$8:$Q$257,Q229,$S$8:$S$257,"Ready",$B$8:$B$257,"&lt;"&amp;B229)&gt;0,0,IF(COUNTIFS($Q$8:Q229,Q229,$S$8:S229,"Ready",$B$8:B229,B229)=1,1,0))))</x:f>
      </x:c>
      <x:c r="S229" s="44" t="str">
        <x:f>IF(A229="","",IF(COUNTIFS($A$8:$A$257,A229)&gt;1,"Duplicate ID",IF(OR(NOT(ISNUMBER(B229)),C229="",E229="",H229="",P229="",AND(OR(H229="First contact",H229="Reply",H229="Positive reply",H229="Permission confirmed"),D229=""),AND(OR(H229="First contact",H229="Permission confirmed"),OR(T229&lt;&gt;"Reviewed and confirmed",U229="",V229="")),AND(H229="Fit qualified",OR(J229&lt;&gt;"Qualified",K229="",M229="",N229="",NOT(ISNUMBER(O229)))),AND(H229="Route recommended",K229=""),AND(OR(H229="Objection",H229="No fit",H229="Lost"),L229="")),"Incomplete","Ready")))</x:f>
      </x:c>
      <x:c r="T229" s="42"/>
      <x:c r="U229" s="42"/>
      <x:c r="V229" s="42"/>
    </x:row>
    <x:row r="230" ht="23" customHeight="1">
      <x:c r="A230" s="42"/>
      <x:c r="B230" s="43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3"/>
      <x:c r="P230" s="42"/>
      <x:c r="Q230" s="44" t="str">
        <x:f>IF(A230="","",IF(OR(H230="First contact",H230="Reply",H230="Positive reply",H230="Permission confirmed"),"C|"&amp;D230&amp;"|"&amp;H230,"O|"&amp;C230&amp;"|"&amp;H230))</x:f>
      </x:c>
      <x:c r="R230" s="44" t="str">
        <x:f>IF(A230="","",IF(S230&lt;&gt;"Ready","Incomplete",IF(COUNTIFS($Q$8:$Q$257,Q230,$S$8:$S$257,"Ready",$B$8:$B$257,"&lt;"&amp;B230)&gt;0,0,IF(COUNTIFS($Q$8:Q230,Q230,$S$8:S230,"Ready",$B$8:B230,B230)=1,1,0))))</x:f>
      </x:c>
      <x:c r="S230" s="44" t="str">
        <x:f>IF(A230="","",IF(COUNTIFS($A$8:$A$257,A230)&gt;1,"Duplicate ID",IF(OR(NOT(ISNUMBER(B230)),C230="",E230="",H230="",P230="",AND(OR(H230="First contact",H230="Reply",H230="Positive reply",H230="Permission confirmed"),D230=""),AND(OR(H230="First contact",H230="Permission confirmed"),OR(T230&lt;&gt;"Reviewed and confirmed",U230="",V230="")),AND(H230="Fit qualified",OR(J230&lt;&gt;"Qualified",K230="",M230="",N230="",NOT(ISNUMBER(O230)))),AND(H230="Route recommended",K230=""),AND(OR(H230="Objection",H230="No fit",H230="Lost"),L230="")),"Incomplete","Ready")))</x:f>
      </x:c>
      <x:c r="T230" s="42"/>
      <x:c r="U230" s="42"/>
      <x:c r="V230" s="42"/>
    </x:row>
    <x:row r="231" ht="23" customHeight="1">
      <x:c r="A231" s="42"/>
      <x:c r="B231" s="43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3"/>
      <x:c r="P231" s="42"/>
      <x:c r="Q231" s="44" t="str">
        <x:f>IF(A231="","",IF(OR(H231="First contact",H231="Reply",H231="Positive reply",H231="Permission confirmed"),"C|"&amp;D231&amp;"|"&amp;H231,"O|"&amp;C231&amp;"|"&amp;H231))</x:f>
      </x:c>
      <x:c r="R231" s="44" t="str">
        <x:f>IF(A231="","",IF(S231&lt;&gt;"Ready","Incomplete",IF(COUNTIFS($Q$8:$Q$257,Q231,$S$8:$S$257,"Ready",$B$8:$B$257,"&lt;"&amp;B231)&gt;0,0,IF(COUNTIFS($Q$8:Q231,Q231,$S$8:S231,"Ready",$B$8:B231,B231)=1,1,0))))</x:f>
      </x:c>
      <x:c r="S231" s="44" t="str">
        <x:f>IF(A231="","",IF(COUNTIFS($A$8:$A$257,A231)&gt;1,"Duplicate ID",IF(OR(NOT(ISNUMBER(B231)),C231="",E231="",H231="",P231="",AND(OR(H231="First contact",H231="Reply",H231="Positive reply",H231="Permission confirmed"),D231=""),AND(OR(H231="First contact",H231="Permission confirmed"),OR(T231&lt;&gt;"Reviewed and confirmed",U231="",V231="")),AND(H231="Fit qualified",OR(J231&lt;&gt;"Qualified",K231="",M231="",N231="",NOT(ISNUMBER(O231)))),AND(H231="Route recommended",K231=""),AND(OR(H231="Objection",H231="No fit",H231="Lost"),L231="")),"Incomplete","Ready")))</x:f>
      </x:c>
      <x:c r="T231" s="42"/>
      <x:c r="U231" s="42"/>
      <x:c r="V231" s="42"/>
    </x:row>
    <x:row r="232" ht="23" customHeight="1">
      <x:c r="A232" s="42"/>
      <x:c r="B232" s="43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3"/>
      <x:c r="P232" s="42"/>
      <x:c r="Q232" s="44" t="str">
        <x:f>IF(A232="","",IF(OR(H232="First contact",H232="Reply",H232="Positive reply",H232="Permission confirmed"),"C|"&amp;D232&amp;"|"&amp;H232,"O|"&amp;C232&amp;"|"&amp;H232))</x:f>
      </x:c>
      <x:c r="R232" s="44" t="str">
        <x:f>IF(A232="","",IF(S232&lt;&gt;"Ready","Incomplete",IF(COUNTIFS($Q$8:$Q$257,Q232,$S$8:$S$257,"Ready",$B$8:$B$257,"&lt;"&amp;B232)&gt;0,0,IF(COUNTIFS($Q$8:Q232,Q232,$S$8:S232,"Ready",$B$8:B232,B232)=1,1,0))))</x:f>
      </x:c>
      <x:c r="S232" s="44" t="str">
        <x:f>IF(A232="","",IF(COUNTIFS($A$8:$A$257,A232)&gt;1,"Duplicate ID",IF(OR(NOT(ISNUMBER(B232)),C232="",E232="",H232="",P232="",AND(OR(H232="First contact",H232="Reply",H232="Positive reply",H232="Permission confirmed"),D232=""),AND(OR(H232="First contact",H232="Permission confirmed"),OR(T232&lt;&gt;"Reviewed and confirmed",U232="",V232="")),AND(H232="Fit qualified",OR(J232&lt;&gt;"Qualified",K232="",M232="",N232="",NOT(ISNUMBER(O232)))),AND(H232="Route recommended",K232=""),AND(OR(H232="Objection",H232="No fit",H232="Lost"),L232="")),"Incomplete","Ready")))</x:f>
      </x:c>
      <x:c r="T232" s="42"/>
      <x:c r="U232" s="42"/>
      <x:c r="V232" s="42"/>
    </x:row>
    <x:row r="233" ht="23" customHeight="1">
      <x:c r="A233" s="42"/>
      <x:c r="B233" s="43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3"/>
      <x:c r="P233" s="42"/>
      <x:c r="Q233" s="44" t="str">
        <x:f>IF(A233="","",IF(OR(H233="First contact",H233="Reply",H233="Positive reply",H233="Permission confirmed"),"C|"&amp;D233&amp;"|"&amp;H233,"O|"&amp;C233&amp;"|"&amp;H233))</x:f>
      </x:c>
      <x:c r="R233" s="44" t="str">
        <x:f>IF(A233="","",IF(S233&lt;&gt;"Ready","Incomplete",IF(COUNTIFS($Q$8:$Q$257,Q233,$S$8:$S$257,"Ready",$B$8:$B$257,"&lt;"&amp;B233)&gt;0,0,IF(COUNTIFS($Q$8:Q233,Q233,$S$8:S233,"Ready",$B$8:B233,B233)=1,1,0))))</x:f>
      </x:c>
      <x:c r="S233" s="44" t="str">
        <x:f>IF(A233="","",IF(COUNTIFS($A$8:$A$257,A233)&gt;1,"Duplicate ID",IF(OR(NOT(ISNUMBER(B233)),C233="",E233="",H233="",P233="",AND(OR(H233="First contact",H233="Reply",H233="Positive reply",H233="Permission confirmed"),D233=""),AND(OR(H233="First contact",H233="Permission confirmed"),OR(T233&lt;&gt;"Reviewed and confirmed",U233="",V233="")),AND(H233="Fit qualified",OR(J233&lt;&gt;"Qualified",K233="",M233="",N233="",NOT(ISNUMBER(O233)))),AND(H233="Route recommended",K233=""),AND(OR(H233="Objection",H233="No fit",H233="Lost"),L233="")),"Incomplete","Ready")))</x:f>
      </x:c>
      <x:c r="T233" s="42"/>
      <x:c r="U233" s="42"/>
      <x:c r="V233" s="42"/>
    </x:row>
    <x:row r="234" ht="23" customHeight="1">
      <x:c r="A234" s="42"/>
      <x:c r="B234" s="43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3"/>
      <x:c r="P234" s="42"/>
      <x:c r="Q234" s="44" t="str">
        <x:f>IF(A234="","",IF(OR(H234="First contact",H234="Reply",H234="Positive reply",H234="Permission confirmed"),"C|"&amp;D234&amp;"|"&amp;H234,"O|"&amp;C234&amp;"|"&amp;H234))</x:f>
      </x:c>
      <x:c r="R234" s="44" t="str">
        <x:f>IF(A234="","",IF(S234&lt;&gt;"Ready","Incomplete",IF(COUNTIFS($Q$8:$Q$257,Q234,$S$8:$S$257,"Ready",$B$8:$B$257,"&lt;"&amp;B234)&gt;0,0,IF(COUNTIFS($Q$8:Q234,Q234,$S$8:S234,"Ready",$B$8:B234,B234)=1,1,0))))</x:f>
      </x:c>
      <x:c r="S234" s="44" t="str">
        <x:f>IF(A234="","",IF(COUNTIFS($A$8:$A$257,A234)&gt;1,"Duplicate ID",IF(OR(NOT(ISNUMBER(B234)),C234="",E234="",H234="",P234="",AND(OR(H234="First contact",H234="Reply",H234="Positive reply",H234="Permission confirmed"),D234=""),AND(OR(H234="First contact",H234="Permission confirmed"),OR(T234&lt;&gt;"Reviewed and confirmed",U234="",V234="")),AND(H234="Fit qualified",OR(J234&lt;&gt;"Qualified",K234="",M234="",N234="",NOT(ISNUMBER(O234)))),AND(H234="Route recommended",K234=""),AND(OR(H234="Objection",H234="No fit",H234="Lost"),L234="")),"Incomplete","Ready")))</x:f>
      </x:c>
      <x:c r="T234" s="42"/>
      <x:c r="U234" s="42"/>
      <x:c r="V234" s="42"/>
    </x:row>
    <x:row r="235" ht="23" customHeight="1">
      <x:c r="A235" s="42"/>
      <x:c r="B235" s="43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3"/>
      <x:c r="P235" s="42"/>
      <x:c r="Q235" s="44" t="str">
        <x:f>IF(A235="","",IF(OR(H235="First contact",H235="Reply",H235="Positive reply",H235="Permission confirmed"),"C|"&amp;D235&amp;"|"&amp;H235,"O|"&amp;C235&amp;"|"&amp;H235))</x:f>
      </x:c>
      <x:c r="R235" s="44" t="str">
        <x:f>IF(A235="","",IF(S235&lt;&gt;"Ready","Incomplete",IF(COUNTIFS($Q$8:$Q$257,Q235,$S$8:$S$257,"Ready",$B$8:$B$257,"&lt;"&amp;B235)&gt;0,0,IF(COUNTIFS($Q$8:Q235,Q235,$S$8:S235,"Ready",$B$8:B235,B235)=1,1,0))))</x:f>
      </x:c>
      <x:c r="S235" s="44" t="str">
        <x:f>IF(A235="","",IF(COUNTIFS($A$8:$A$257,A235)&gt;1,"Duplicate ID",IF(OR(NOT(ISNUMBER(B235)),C235="",E235="",H235="",P235="",AND(OR(H235="First contact",H235="Reply",H235="Positive reply",H235="Permission confirmed"),D235=""),AND(OR(H235="First contact",H235="Permission confirmed"),OR(T235&lt;&gt;"Reviewed and confirmed",U235="",V235="")),AND(H235="Fit qualified",OR(J235&lt;&gt;"Qualified",K235="",M235="",N235="",NOT(ISNUMBER(O235)))),AND(H235="Route recommended",K235=""),AND(OR(H235="Objection",H235="No fit",H235="Lost"),L235="")),"Incomplete","Ready")))</x:f>
      </x:c>
      <x:c r="T235" s="42"/>
      <x:c r="U235" s="42"/>
      <x:c r="V235" s="42"/>
    </x:row>
    <x:row r="236" ht="23" customHeight="1">
      <x:c r="A236" s="42"/>
      <x:c r="B236" s="43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3"/>
      <x:c r="P236" s="42"/>
      <x:c r="Q236" s="44" t="str">
        <x:f>IF(A236="","",IF(OR(H236="First contact",H236="Reply",H236="Positive reply",H236="Permission confirmed"),"C|"&amp;D236&amp;"|"&amp;H236,"O|"&amp;C236&amp;"|"&amp;H236))</x:f>
      </x:c>
      <x:c r="R236" s="44" t="str">
        <x:f>IF(A236="","",IF(S236&lt;&gt;"Ready","Incomplete",IF(COUNTIFS($Q$8:$Q$257,Q236,$S$8:$S$257,"Ready",$B$8:$B$257,"&lt;"&amp;B236)&gt;0,0,IF(COUNTIFS($Q$8:Q236,Q236,$S$8:S236,"Ready",$B$8:B236,B236)=1,1,0))))</x:f>
      </x:c>
      <x:c r="S236" s="44" t="str">
        <x:f>IF(A236="","",IF(COUNTIFS($A$8:$A$257,A236)&gt;1,"Duplicate ID",IF(OR(NOT(ISNUMBER(B236)),C236="",E236="",H236="",P236="",AND(OR(H236="First contact",H236="Reply",H236="Positive reply",H236="Permission confirmed"),D236=""),AND(OR(H236="First contact",H236="Permission confirmed"),OR(T236&lt;&gt;"Reviewed and confirmed",U236="",V236="")),AND(H236="Fit qualified",OR(J236&lt;&gt;"Qualified",K236="",M236="",N236="",NOT(ISNUMBER(O236)))),AND(H236="Route recommended",K236=""),AND(OR(H236="Objection",H236="No fit",H236="Lost"),L236="")),"Incomplete","Ready")))</x:f>
      </x:c>
      <x:c r="T236" s="42"/>
      <x:c r="U236" s="42"/>
      <x:c r="V236" s="42"/>
    </x:row>
    <x:row r="237" ht="23" customHeight="1">
      <x:c r="A237" s="42"/>
      <x:c r="B237" s="43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3"/>
      <x:c r="P237" s="42"/>
      <x:c r="Q237" s="44" t="str">
        <x:f>IF(A237="","",IF(OR(H237="First contact",H237="Reply",H237="Positive reply",H237="Permission confirmed"),"C|"&amp;D237&amp;"|"&amp;H237,"O|"&amp;C237&amp;"|"&amp;H237))</x:f>
      </x:c>
      <x:c r="R237" s="44" t="str">
        <x:f>IF(A237="","",IF(S237&lt;&gt;"Ready","Incomplete",IF(COUNTIFS($Q$8:$Q$257,Q237,$S$8:$S$257,"Ready",$B$8:$B$257,"&lt;"&amp;B237)&gt;0,0,IF(COUNTIFS($Q$8:Q237,Q237,$S$8:S237,"Ready",$B$8:B237,B237)=1,1,0))))</x:f>
      </x:c>
      <x:c r="S237" s="44" t="str">
        <x:f>IF(A237="","",IF(COUNTIFS($A$8:$A$257,A237)&gt;1,"Duplicate ID",IF(OR(NOT(ISNUMBER(B237)),C237="",E237="",H237="",P237="",AND(OR(H237="First contact",H237="Reply",H237="Positive reply",H237="Permission confirmed"),D237=""),AND(OR(H237="First contact",H237="Permission confirmed"),OR(T237&lt;&gt;"Reviewed and confirmed",U237="",V237="")),AND(H237="Fit qualified",OR(J237&lt;&gt;"Qualified",K237="",M237="",N237="",NOT(ISNUMBER(O237)))),AND(H237="Route recommended",K237=""),AND(OR(H237="Objection",H237="No fit",H237="Lost"),L237="")),"Incomplete","Ready")))</x:f>
      </x:c>
      <x:c r="T237" s="42"/>
      <x:c r="U237" s="42"/>
      <x:c r="V237" s="42"/>
    </x:row>
    <x:row r="238" ht="23" customHeight="1">
      <x:c r="A238" s="42"/>
      <x:c r="B238" s="43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3"/>
      <x:c r="P238" s="42"/>
      <x:c r="Q238" s="44" t="str">
        <x:f>IF(A238="","",IF(OR(H238="First contact",H238="Reply",H238="Positive reply",H238="Permission confirmed"),"C|"&amp;D238&amp;"|"&amp;H238,"O|"&amp;C238&amp;"|"&amp;H238))</x:f>
      </x:c>
      <x:c r="R238" s="44" t="str">
        <x:f>IF(A238="","",IF(S238&lt;&gt;"Ready","Incomplete",IF(COUNTIFS($Q$8:$Q$257,Q238,$S$8:$S$257,"Ready",$B$8:$B$257,"&lt;"&amp;B238)&gt;0,0,IF(COUNTIFS($Q$8:Q238,Q238,$S$8:S238,"Ready",$B$8:B238,B238)=1,1,0))))</x:f>
      </x:c>
      <x:c r="S238" s="44" t="str">
        <x:f>IF(A238="","",IF(COUNTIFS($A$8:$A$257,A238)&gt;1,"Duplicate ID",IF(OR(NOT(ISNUMBER(B238)),C238="",E238="",H238="",P238="",AND(OR(H238="First contact",H238="Reply",H238="Positive reply",H238="Permission confirmed"),D238=""),AND(OR(H238="First contact",H238="Permission confirmed"),OR(T238&lt;&gt;"Reviewed and confirmed",U238="",V238="")),AND(H238="Fit qualified",OR(J238&lt;&gt;"Qualified",K238="",M238="",N238="",NOT(ISNUMBER(O238)))),AND(H238="Route recommended",K238=""),AND(OR(H238="Objection",H238="No fit",H238="Lost"),L238="")),"Incomplete","Ready")))</x:f>
      </x:c>
      <x:c r="T238" s="42"/>
      <x:c r="U238" s="42"/>
      <x:c r="V238" s="42"/>
    </x:row>
    <x:row r="239" ht="23" customHeight="1">
      <x:c r="A239" s="42"/>
      <x:c r="B239" s="43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3"/>
      <x:c r="P239" s="42"/>
      <x:c r="Q239" s="44" t="str">
        <x:f>IF(A239="","",IF(OR(H239="First contact",H239="Reply",H239="Positive reply",H239="Permission confirmed"),"C|"&amp;D239&amp;"|"&amp;H239,"O|"&amp;C239&amp;"|"&amp;H239))</x:f>
      </x:c>
      <x:c r="R239" s="44" t="str">
        <x:f>IF(A239="","",IF(S239&lt;&gt;"Ready","Incomplete",IF(COUNTIFS($Q$8:$Q$257,Q239,$S$8:$S$257,"Ready",$B$8:$B$257,"&lt;"&amp;B239)&gt;0,0,IF(COUNTIFS($Q$8:Q239,Q239,$S$8:S239,"Ready",$B$8:B239,B239)=1,1,0))))</x:f>
      </x:c>
      <x:c r="S239" s="44" t="str">
        <x:f>IF(A239="","",IF(COUNTIFS($A$8:$A$257,A239)&gt;1,"Duplicate ID",IF(OR(NOT(ISNUMBER(B239)),C239="",E239="",H239="",P239="",AND(OR(H239="First contact",H239="Reply",H239="Positive reply",H239="Permission confirmed"),D239=""),AND(OR(H239="First contact",H239="Permission confirmed"),OR(T239&lt;&gt;"Reviewed and confirmed",U239="",V239="")),AND(H239="Fit qualified",OR(J239&lt;&gt;"Qualified",K239="",M239="",N239="",NOT(ISNUMBER(O239)))),AND(H239="Route recommended",K239=""),AND(OR(H239="Objection",H239="No fit",H239="Lost"),L239="")),"Incomplete","Ready")))</x:f>
      </x:c>
      <x:c r="T239" s="42"/>
      <x:c r="U239" s="42"/>
      <x:c r="V239" s="42"/>
    </x:row>
    <x:row r="240" ht="23" customHeight="1">
      <x:c r="A240" s="42"/>
      <x:c r="B240" s="43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3"/>
      <x:c r="P240" s="42"/>
      <x:c r="Q240" s="44" t="str">
        <x:f>IF(A240="","",IF(OR(H240="First contact",H240="Reply",H240="Positive reply",H240="Permission confirmed"),"C|"&amp;D240&amp;"|"&amp;H240,"O|"&amp;C240&amp;"|"&amp;H240))</x:f>
      </x:c>
      <x:c r="R240" s="44" t="str">
        <x:f>IF(A240="","",IF(S240&lt;&gt;"Ready","Incomplete",IF(COUNTIFS($Q$8:$Q$257,Q240,$S$8:$S$257,"Ready",$B$8:$B$257,"&lt;"&amp;B240)&gt;0,0,IF(COUNTIFS($Q$8:Q240,Q240,$S$8:S240,"Ready",$B$8:B240,B240)=1,1,0))))</x:f>
      </x:c>
      <x:c r="S240" s="44" t="str">
        <x:f>IF(A240="","",IF(COUNTIFS($A$8:$A$257,A240)&gt;1,"Duplicate ID",IF(OR(NOT(ISNUMBER(B240)),C240="",E240="",H240="",P240="",AND(OR(H240="First contact",H240="Reply",H240="Positive reply",H240="Permission confirmed"),D240=""),AND(OR(H240="First contact",H240="Permission confirmed"),OR(T240&lt;&gt;"Reviewed and confirmed",U240="",V240="")),AND(H240="Fit qualified",OR(J240&lt;&gt;"Qualified",K240="",M240="",N240="",NOT(ISNUMBER(O240)))),AND(H240="Route recommended",K240=""),AND(OR(H240="Objection",H240="No fit",H240="Lost"),L240="")),"Incomplete","Ready")))</x:f>
      </x:c>
      <x:c r="T240" s="42"/>
      <x:c r="U240" s="42"/>
      <x:c r="V240" s="42"/>
    </x:row>
    <x:row r="241" ht="23" customHeight="1">
      <x:c r="A241" s="42"/>
      <x:c r="B241" s="43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3"/>
      <x:c r="P241" s="42"/>
      <x:c r="Q241" s="44" t="str">
        <x:f>IF(A241="","",IF(OR(H241="First contact",H241="Reply",H241="Positive reply",H241="Permission confirmed"),"C|"&amp;D241&amp;"|"&amp;H241,"O|"&amp;C241&amp;"|"&amp;H241))</x:f>
      </x:c>
      <x:c r="R241" s="44" t="str">
        <x:f>IF(A241="","",IF(S241&lt;&gt;"Ready","Incomplete",IF(COUNTIFS($Q$8:$Q$257,Q241,$S$8:$S$257,"Ready",$B$8:$B$257,"&lt;"&amp;B241)&gt;0,0,IF(COUNTIFS($Q$8:Q241,Q241,$S$8:S241,"Ready",$B$8:B241,B241)=1,1,0))))</x:f>
      </x:c>
      <x:c r="S241" s="44" t="str">
        <x:f>IF(A241="","",IF(COUNTIFS($A$8:$A$257,A241)&gt;1,"Duplicate ID",IF(OR(NOT(ISNUMBER(B241)),C241="",E241="",H241="",P241="",AND(OR(H241="First contact",H241="Reply",H241="Positive reply",H241="Permission confirmed"),D241=""),AND(OR(H241="First contact",H241="Permission confirmed"),OR(T241&lt;&gt;"Reviewed and confirmed",U241="",V241="")),AND(H241="Fit qualified",OR(J241&lt;&gt;"Qualified",K241="",M241="",N241="",NOT(ISNUMBER(O241)))),AND(H241="Route recommended",K241=""),AND(OR(H241="Objection",H241="No fit",H241="Lost"),L241="")),"Incomplete","Ready")))</x:f>
      </x:c>
      <x:c r="T241" s="42"/>
      <x:c r="U241" s="42"/>
      <x:c r="V241" s="42"/>
    </x:row>
    <x:row r="242" ht="23" customHeight="1">
      <x:c r="A242" s="42"/>
      <x:c r="B242" s="43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3"/>
      <x:c r="P242" s="42"/>
      <x:c r="Q242" s="44" t="str">
        <x:f>IF(A242="","",IF(OR(H242="First contact",H242="Reply",H242="Positive reply",H242="Permission confirmed"),"C|"&amp;D242&amp;"|"&amp;H242,"O|"&amp;C242&amp;"|"&amp;H242))</x:f>
      </x:c>
      <x:c r="R242" s="44" t="str">
        <x:f>IF(A242="","",IF(S242&lt;&gt;"Ready","Incomplete",IF(COUNTIFS($Q$8:$Q$257,Q242,$S$8:$S$257,"Ready",$B$8:$B$257,"&lt;"&amp;B242)&gt;0,0,IF(COUNTIFS($Q$8:Q242,Q242,$S$8:S242,"Ready",$B$8:B242,B242)=1,1,0))))</x:f>
      </x:c>
      <x:c r="S242" s="44" t="str">
        <x:f>IF(A242="","",IF(COUNTIFS($A$8:$A$257,A242)&gt;1,"Duplicate ID",IF(OR(NOT(ISNUMBER(B242)),C242="",E242="",H242="",P242="",AND(OR(H242="First contact",H242="Reply",H242="Positive reply",H242="Permission confirmed"),D242=""),AND(OR(H242="First contact",H242="Permission confirmed"),OR(T242&lt;&gt;"Reviewed and confirmed",U242="",V242="")),AND(H242="Fit qualified",OR(J242&lt;&gt;"Qualified",K242="",M242="",N242="",NOT(ISNUMBER(O242)))),AND(H242="Route recommended",K242=""),AND(OR(H242="Objection",H242="No fit",H242="Lost"),L242="")),"Incomplete","Ready")))</x:f>
      </x:c>
      <x:c r="T242" s="42"/>
      <x:c r="U242" s="42"/>
      <x:c r="V242" s="42"/>
    </x:row>
    <x:row r="243" ht="23" customHeight="1">
      <x:c r="A243" s="42"/>
      <x:c r="B243" s="43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3"/>
      <x:c r="P243" s="42"/>
      <x:c r="Q243" s="44" t="str">
        <x:f>IF(A243="","",IF(OR(H243="First contact",H243="Reply",H243="Positive reply",H243="Permission confirmed"),"C|"&amp;D243&amp;"|"&amp;H243,"O|"&amp;C243&amp;"|"&amp;H243))</x:f>
      </x:c>
      <x:c r="R243" s="44" t="str">
        <x:f>IF(A243="","",IF(S243&lt;&gt;"Ready","Incomplete",IF(COUNTIFS($Q$8:$Q$257,Q243,$S$8:$S$257,"Ready",$B$8:$B$257,"&lt;"&amp;B243)&gt;0,0,IF(COUNTIFS($Q$8:Q243,Q243,$S$8:S243,"Ready",$B$8:B243,B243)=1,1,0))))</x:f>
      </x:c>
      <x:c r="S243" s="44" t="str">
        <x:f>IF(A243="","",IF(COUNTIFS($A$8:$A$257,A243)&gt;1,"Duplicate ID",IF(OR(NOT(ISNUMBER(B243)),C243="",E243="",H243="",P243="",AND(OR(H243="First contact",H243="Reply",H243="Positive reply",H243="Permission confirmed"),D243=""),AND(OR(H243="First contact",H243="Permission confirmed"),OR(T243&lt;&gt;"Reviewed and confirmed",U243="",V243="")),AND(H243="Fit qualified",OR(J243&lt;&gt;"Qualified",K243="",M243="",N243="",NOT(ISNUMBER(O243)))),AND(H243="Route recommended",K243=""),AND(OR(H243="Objection",H243="No fit",H243="Lost"),L243="")),"Incomplete","Ready")))</x:f>
      </x:c>
      <x:c r="T243" s="42"/>
      <x:c r="U243" s="42"/>
      <x:c r="V243" s="42"/>
    </x:row>
    <x:row r="244" ht="23" customHeight="1">
      <x:c r="A244" s="42"/>
      <x:c r="B244" s="43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3"/>
      <x:c r="P244" s="42"/>
      <x:c r="Q244" s="44" t="str">
        <x:f>IF(A244="","",IF(OR(H244="First contact",H244="Reply",H244="Positive reply",H244="Permission confirmed"),"C|"&amp;D244&amp;"|"&amp;H244,"O|"&amp;C244&amp;"|"&amp;H244))</x:f>
      </x:c>
      <x:c r="R244" s="44" t="str">
        <x:f>IF(A244="","",IF(S244&lt;&gt;"Ready","Incomplete",IF(COUNTIFS($Q$8:$Q$257,Q244,$S$8:$S$257,"Ready",$B$8:$B$257,"&lt;"&amp;B244)&gt;0,0,IF(COUNTIFS($Q$8:Q244,Q244,$S$8:S244,"Ready",$B$8:B244,B244)=1,1,0))))</x:f>
      </x:c>
      <x:c r="S244" s="44" t="str">
        <x:f>IF(A244="","",IF(COUNTIFS($A$8:$A$257,A244)&gt;1,"Duplicate ID",IF(OR(NOT(ISNUMBER(B244)),C244="",E244="",H244="",P244="",AND(OR(H244="First contact",H244="Reply",H244="Positive reply",H244="Permission confirmed"),D244=""),AND(OR(H244="First contact",H244="Permission confirmed"),OR(T244&lt;&gt;"Reviewed and confirmed",U244="",V244="")),AND(H244="Fit qualified",OR(J244&lt;&gt;"Qualified",K244="",M244="",N244="",NOT(ISNUMBER(O244)))),AND(H244="Route recommended",K244=""),AND(OR(H244="Objection",H244="No fit",H244="Lost"),L244="")),"Incomplete","Ready")))</x:f>
      </x:c>
      <x:c r="T244" s="42"/>
      <x:c r="U244" s="42"/>
      <x:c r="V244" s="42"/>
    </x:row>
    <x:row r="245" ht="23" customHeight="1">
      <x:c r="A245" s="42"/>
      <x:c r="B245" s="43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3"/>
      <x:c r="P245" s="42"/>
      <x:c r="Q245" s="44" t="str">
        <x:f>IF(A245="","",IF(OR(H245="First contact",H245="Reply",H245="Positive reply",H245="Permission confirmed"),"C|"&amp;D245&amp;"|"&amp;H245,"O|"&amp;C245&amp;"|"&amp;H245))</x:f>
      </x:c>
      <x:c r="R245" s="44" t="str">
        <x:f>IF(A245="","",IF(S245&lt;&gt;"Ready","Incomplete",IF(COUNTIFS($Q$8:$Q$257,Q245,$S$8:$S$257,"Ready",$B$8:$B$257,"&lt;"&amp;B245)&gt;0,0,IF(COUNTIFS($Q$8:Q245,Q245,$S$8:S245,"Ready",$B$8:B245,B245)=1,1,0))))</x:f>
      </x:c>
      <x:c r="S245" s="44" t="str">
        <x:f>IF(A245="","",IF(COUNTIFS($A$8:$A$257,A245)&gt;1,"Duplicate ID",IF(OR(NOT(ISNUMBER(B245)),C245="",E245="",H245="",P245="",AND(OR(H245="First contact",H245="Reply",H245="Positive reply",H245="Permission confirmed"),D245=""),AND(OR(H245="First contact",H245="Permission confirmed"),OR(T245&lt;&gt;"Reviewed and confirmed",U245="",V245="")),AND(H245="Fit qualified",OR(J245&lt;&gt;"Qualified",K245="",M245="",N245="",NOT(ISNUMBER(O245)))),AND(H245="Route recommended",K245=""),AND(OR(H245="Objection",H245="No fit",H245="Lost"),L245="")),"Incomplete","Ready")))</x:f>
      </x:c>
      <x:c r="T245" s="42"/>
      <x:c r="U245" s="42"/>
      <x:c r="V245" s="42"/>
    </x:row>
    <x:row r="246" ht="23" customHeight="1">
      <x:c r="A246" s="42"/>
      <x:c r="B246" s="43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3"/>
      <x:c r="P246" s="42"/>
      <x:c r="Q246" s="44" t="str">
        <x:f>IF(A246="","",IF(OR(H246="First contact",H246="Reply",H246="Positive reply",H246="Permission confirmed"),"C|"&amp;D246&amp;"|"&amp;H246,"O|"&amp;C246&amp;"|"&amp;H246))</x:f>
      </x:c>
      <x:c r="R246" s="44" t="str">
        <x:f>IF(A246="","",IF(S246&lt;&gt;"Ready","Incomplete",IF(COUNTIFS($Q$8:$Q$257,Q246,$S$8:$S$257,"Ready",$B$8:$B$257,"&lt;"&amp;B246)&gt;0,0,IF(COUNTIFS($Q$8:Q246,Q246,$S$8:S246,"Ready",$B$8:B246,B246)=1,1,0))))</x:f>
      </x:c>
      <x:c r="S246" s="44" t="str">
        <x:f>IF(A246="","",IF(COUNTIFS($A$8:$A$257,A246)&gt;1,"Duplicate ID",IF(OR(NOT(ISNUMBER(B246)),C246="",E246="",H246="",P246="",AND(OR(H246="First contact",H246="Reply",H246="Positive reply",H246="Permission confirmed"),D246=""),AND(OR(H246="First contact",H246="Permission confirmed"),OR(T246&lt;&gt;"Reviewed and confirmed",U246="",V246="")),AND(H246="Fit qualified",OR(J246&lt;&gt;"Qualified",K246="",M246="",N246="",NOT(ISNUMBER(O246)))),AND(H246="Route recommended",K246=""),AND(OR(H246="Objection",H246="No fit",H246="Lost"),L246="")),"Incomplete","Ready")))</x:f>
      </x:c>
      <x:c r="T246" s="42"/>
      <x:c r="U246" s="42"/>
      <x:c r="V246" s="42"/>
    </x:row>
    <x:row r="247" ht="23" customHeight="1">
      <x:c r="A247" s="42"/>
      <x:c r="B247" s="43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3"/>
      <x:c r="P247" s="42"/>
      <x:c r="Q247" s="44" t="str">
        <x:f>IF(A247="","",IF(OR(H247="First contact",H247="Reply",H247="Positive reply",H247="Permission confirmed"),"C|"&amp;D247&amp;"|"&amp;H247,"O|"&amp;C247&amp;"|"&amp;H247))</x:f>
      </x:c>
      <x:c r="R247" s="44" t="str">
        <x:f>IF(A247="","",IF(S247&lt;&gt;"Ready","Incomplete",IF(COUNTIFS($Q$8:$Q$257,Q247,$S$8:$S$257,"Ready",$B$8:$B$257,"&lt;"&amp;B247)&gt;0,0,IF(COUNTIFS($Q$8:Q247,Q247,$S$8:S247,"Ready",$B$8:B247,B247)=1,1,0))))</x:f>
      </x:c>
      <x:c r="S247" s="44" t="str">
        <x:f>IF(A247="","",IF(COUNTIFS($A$8:$A$257,A247)&gt;1,"Duplicate ID",IF(OR(NOT(ISNUMBER(B247)),C247="",E247="",H247="",P247="",AND(OR(H247="First contact",H247="Reply",H247="Positive reply",H247="Permission confirmed"),D247=""),AND(OR(H247="First contact",H247="Permission confirmed"),OR(T247&lt;&gt;"Reviewed and confirmed",U247="",V247="")),AND(H247="Fit qualified",OR(J247&lt;&gt;"Qualified",K247="",M247="",N247="",NOT(ISNUMBER(O247)))),AND(H247="Route recommended",K247=""),AND(OR(H247="Objection",H247="No fit",H247="Lost"),L247="")),"Incomplete","Ready")))</x:f>
      </x:c>
      <x:c r="T247" s="42"/>
      <x:c r="U247" s="42"/>
      <x:c r="V247" s="42"/>
    </x:row>
    <x:row r="248" ht="23" customHeight="1">
      <x:c r="A248" s="42"/>
      <x:c r="B248" s="43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3"/>
      <x:c r="P248" s="42"/>
      <x:c r="Q248" s="44" t="str">
        <x:f>IF(A248="","",IF(OR(H248="First contact",H248="Reply",H248="Positive reply",H248="Permission confirmed"),"C|"&amp;D248&amp;"|"&amp;H248,"O|"&amp;C248&amp;"|"&amp;H248))</x:f>
      </x:c>
      <x:c r="R248" s="44" t="str">
        <x:f>IF(A248="","",IF(S248&lt;&gt;"Ready","Incomplete",IF(COUNTIFS($Q$8:$Q$257,Q248,$S$8:$S$257,"Ready",$B$8:$B$257,"&lt;"&amp;B248)&gt;0,0,IF(COUNTIFS($Q$8:Q248,Q248,$S$8:S248,"Ready",$B$8:B248,B248)=1,1,0))))</x:f>
      </x:c>
      <x:c r="S248" s="44" t="str">
        <x:f>IF(A248="","",IF(COUNTIFS($A$8:$A$257,A248)&gt;1,"Duplicate ID",IF(OR(NOT(ISNUMBER(B248)),C248="",E248="",H248="",P248="",AND(OR(H248="First contact",H248="Reply",H248="Positive reply",H248="Permission confirmed"),D248=""),AND(OR(H248="First contact",H248="Permission confirmed"),OR(T248&lt;&gt;"Reviewed and confirmed",U248="",V248="")),AND(H248="Fit qualified",OR(J248&lt;&gt;"Qualified",K248="",M248="",N248="",NOT(ISNUMBER(O248)))),AND(H248="Route recommended",K248=""),AND(OR(H248="Objection",H248="No fit",H248="Lost"),L248="")),"Incomplete","Ready")))</x:f>
      </x:c>
      <x:c r="T248" s="42"/>
      <x:c r="U248" s="42"/>
      <x:c r="V248" s="42"/>
    </x:row>
    <x:row r="249" ht="23" customHeight="1">
      <x:c r="A249" s="42"/>
      <x:c r="B249" s="43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3"/>
      <x:c r="P249" s="42"/>
      <x:c r="Q249" s="44" t="str">
        <x:f>IF(A249="","",IF(OR(H249="First contact",H249="Reply",H249="Positive reply",H249="Permission confirmed"),"C|"&amp;D249&amp;"|"&amp;H249,"O|"&amp;C249&amp;"|"&amp;H249))</x:f>
      </x:c>
      <x:c r="R249" s="44" t="str">
        <x:f>IF(A249="","",IF(S249&lt;&gt;"Ready","Incomplete",IF(COUNTIFS($Q$8:$Q$257,Q249,$S$8:$S$257,"Ready",$B$8:$B$257,"&lt;"&amp;B249)&gt;0,0,IF(COUNTIFS($Q$8:Q249,Q249,$S$8:S249,"Ready",$B$8:B249,B249)=1,1,0))))</x:f>
      </x:c>
      <x:c r="S249" s="44" t="str">
        <x:f>IF(A249="","",IF(COUNTIFS($A$8:$A$257,A249)&gt;1,"Duplicate ID",IF(OR(NOT(ISNUMBER(B249)),C249="",E249="",H249="",P249="",AND(OR(H249="First contact",H249="Reply",H249="Positive reply",H249="Permission confirmed"),D249=""),AND(OR(H249="First contact",H249="Permission confirmed"),OR(T249&lt;&gt;"Reviewed and confirmed",U249="",V249="")),AND(H249="Fit qualified",OR(J249&lt;&gt;"Qualified",K249="",M249="",N249="",NOT(ISNUMBER(O249)))),AND(H249="Route recommended",K249=""),AND(OR(H249="Objection",H249="No fit",H249="Lost"),L249="")),"Incomplete","Ready")))</x:f>
      </x:c>
      <x:c r="T249" s="42"/>
      <x:c r="U249" s="42"/>
      <x:c r="V249" s="42"/>
    </x:row>
    <x:row r="250" ht="23" customHeight="1">
      <x:c r="A250" s="42"/>
      <x:c r="B250" s="43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3"/>
      <x:c r="P250" s="42"/>
      <x:c r="Q250" s="44" t="str">
        <x:f>IF(A250="","",IF(OR(H250="First contact",H250="Reply",H250="Positive reply",H250="Permission confirmed"),"C|"&amp;D250&amp;"|"&amp;H250,"O|"&amp;C250&amp;"|"&amp;H250))</x:f>
      </x:c>
      <x:c r="R250" s="44" t="str">
        <x:f>IF(A250="","",IF(S250&lt;&gt;"Ready","Incomplete",IF(COUNTIFS($Q$8:$Q$257,Q250,$S$8:$S$257,"Ready",$B$8:$B$257,"&lt;"&amp;B250)&gt;0,0,IF(COUNTIFS($Q$8:Q250,Q250,$S$8:S250,"Ready",$B$8:B250,B250)=1,1,0))))</x:f>
      </x:c>
      <x:c r="S250" s="44" t="str">
        <x:f>IF(A250="","",IF(COUNTIFS($A$8:$A$257,A250)&gt;1,"Duplicate ID",IF(OR(NOT(ISNUMBER(B250)),C250="",E250="",H250="",P250="",AND(OR(H250="First contact",H250="Reply",H250="Positive reply",H250="Permission confirmed"),D250=""),AND(OR(H250="First contact",H250="Permission confirmed"),OR(T250&lt;&gt;"Reviewed and confirmed",U250="",V250="")),AND(H250="Fit qualified",OR(J250&lt;&gt;"Qualified",K250="",M250="",N250="",NOT(ISNUMBER(O250)))),AND(H250="Route recommended",K250=""),AND(OR(H250="Objection",H250="No fit",H250="Lost"),L250="")),"Incomplete","Ready")))</x:f>
      </x:c>
      <x:c r="T250" s="42"/>
      <x:c r="U250" s="42"/>
      <x:c r="V250" s="42"/>
    </x:row>
    <x:row r="251" ht="23" customHeight="1">
      <x:c r="A251" s="42"/>
      <x:c r="B251" s="43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3"/>
      <x:c r="P251" s="42"/>
      <x:c r="Q251" s="44" t="str">
        <x:f>IF(A251="","",IF(OR(H251="First contact",H251="Reply",H251="Positive reply",H251="Permission confirmed"),"C|"&amp;D251&amp;"|"&amp;H251,"O|"&amp;C251&amp;"|"&amp;H251))</x:f>
      </x:c>
      <x:c r="R251" s="44" t="str">
        <x:f>IF(A251="","",IF(S251&lt;&gt;"Ready","Incomplete",IF(COUNTIFS($Q$8:$Q$257,Q251,$S$8:$S$257,"Ready",$B$8:$B$257,"&lt;"&amp;B251)&gt;0,0,IF(COUNTIFS($Q$8:Q251,Q251,$S$8:S251,"Ready",$B$8:B251,B251)=1,1,0))))</x:f>
      </x:c>
      <x:c r="S251" s="44" t="str">
        <x:f>IF(A251="","",IF(COUNTIFS($A$8:$A$257,A251)&gt;1,"Duplicate ID",IF(OR(NOT(ISNUMBER(B251)),C251="",E251="",H251="",P251="",AND(OR(H251="First contact",H251="Reply",H251="Positive reply",H251="Permission confirmed"),D251=""),AND(OR(H251="First contact",H251="Permission confirmed"),OR(T251&lt;&gt;"Reviewed and confirmed",U251="",V251="")),AND(H251="Fit qualified",OR(J251&lt;&gt;"Qualified",K251="",M251="",N251="",NOT(ISNUMBER(O251)))),AND(H251="Route recommended",K251=""),AND(OR(H251="Objection",H251="No fit",H251="Lost"),L251="")),"Incomplete","Ready")))</x:f>
      </x:c>
      <x:c r="T251" s="42"/>
      <x:c r="U251" s="42"/>
      <x:c r="V251" s="42"/>
    </x:row>
    <x:row r="252" ht="23" customHeight="1">
      <x:c r="A252" s="42"/>
      <x:c r="B252" s="43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3"/>
      <x:c r="P252" s="42"/>
      <x:c r="Q252" s="44" t="str">
        <x:f>IF(A252="","",IF(OR(H252="First contact",H252="Reply",H252="Positive reply",H252="Permission confirmed"),"C|"&amp;D252&amp;"|"&amp;H252,"O|"&amp;C252&amp;"|"&amp;H252))</x:f>
      </x:c>
      <x:c r="R252" s="44" t="str">
        <x:f>IF(A252="","",IF(S252&lt;&gt;"Ready","Incomplete",IF(COUNTIFS($Q$8:$Q$257,Q252,$S$8:$S$257,"Ready",$B$8:$B$257,"&lt;"&amp;B252)&gt;0,0,IF(COUNTIFS($Q$8:Q252,Q252,$S$8:S252,"Ready",$B$8:B252,B252)=1,1,0))))</x:f>
      </x:c>
      <x:c r="S252" s="44" t="str">
        <x:f>IF(A252="","",IF(COUNTIFS($A$8:$A$257,A252)&gt;1,"Duplicate ID",IF(OR(NOT(ISNUMBER(B252)),C252="",E252="",H252="",P252="",AND(OR(H252="First contact",H252="Reply",H252="Positive reply",H252="Permission confirmed"),D252=""),AND(OR(H252="First contact",H252="Permission confirmed"),OR(T252&lt;&gt;"Reviewed and confirmed",U252="",V252="")),AND(H252="Fit qualified",OR(J252&lt;&gt;"Qualified",K252="",M252="",N252="",NOT(ISNUMBER(O252)))),AND(H252="Route recommended",K252=""),AND(OR(H252="Objection",H252="No fit",H252="Lost"),L252="")),"Incomplete","Ready")))</x:f>
      </x:c>
      <x:c r="T252" s="42"/>
      <x:c r="U252" s="42"/>
      <x:c r="V252" s="42"/>
    </x:row>
    <x:row r="253" ht="23" customHeight="1">
      <x:c r="A253" s="42"/>
      <x:c r="B253" s="43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3"/>
      <x:c r="P253" s="42"/>
      <x:c r="Q253" s="44" t="str">
        <x:f>IF(A253="","",IF(OR(H253="First contact",H253="Reply",H253="Positive reply",H253="Permission confirmed"),"C|"&amp;D253&amp;"|"&amp;H253,"O|"&amp;C253&amp;"|"&amp;H253))</x:f>
      </x:c>
      <x:c r="R253" s="44" t="str">
        <x:f>IF(A253="","",IF(S253&lt;&gt;"Ready","Incomplete",IF(COUNTIFS($Q$8:$Q$257,Q253,$S$8:$S$257,"Ready",$B$8:$B$257,"&lt;"&amp;B253)&gt;0,0,IF(COUNTIFS($Q$8:Q253,Q253,$S$8:S253,"Ready",$B$8:B253,B253)=1,1,0))))</x:f>
      </x:c>
      <x:c r="S253" s="44" t="str">
        <x:f>IF(A253="","",IF(COUNTIFS($A$8:$A$257,A253)&gt;1,"Duplicate ID",IF(OR(NOT(ISNUMBER(B253)),C253="",E253="",H253="",P253="",AND(OR(H253="First contact",H253="Reply",H253="Positive reply",H253="Permission confirmed"),D253=""),AND(OR(H253="First contact",H253="Permission confirmed"),OR(T253&lt;&gt;"Reviewed and confirmed",U253="",V253="")),AND(H253="Fit qualified",OR(J253&lt;&gt;"Qualified",K253="",M253="",N253="",NOT(ISNUMBER(O253)))),AND(H253="Route recommended",K253=""),AND(OR(H253="Objection",H253="No fit",H253="Lost"),L253="")),"Incomplete","Ready")))</x:f>
      </x:c>
      <x:c r="T253" s="42"/>
      <x:c r="U253" s="42"/>
      <x:c r="V253" s="42"/>
    </x:row>
    <x:row r="254" ht="23" customHeight="1">
      <x:c r="A254" s="42"/>
      <x:c r="B254" s="43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3"/>
      <x:c r="P254" s="42"/>
      <x:c r="Q254" s="44" t="str">
        <x:f>IF(A254="","",IF(OR(H254="First contact",H254="Reply",H254="Positive reply",H254="Permission confirmed"),"C|"&amp;D254&amp;"|"&amp;H254,"O|"&amp;C254&amp;"|"&amp;H254))</x:f>
      </x:c>
      <x:c r="R254" s="44" t="str">
        <x:f>IF(A254="","",IF(S254&lt;&gt;"Ready","Incomplete",IF(COUNTIFS($Q$8:$Q$257,Q254,$S$8:$S$257,"Ready",$B$8:$B$257,"&lt;"&amp;B254)&gt;0,0,IF(COUNTIFS($Q$8:Q254,Q254,$S$8:S254,"Ready",$B$8:B254,B254)=1,1,0))))</x:f>
      </x:c>
      <x:c r="S254" s="44" t="str">
        <x:f>IF(A254="","",IF(COUNTIFS($A$8:$A$257,A254)&gt;1,"Duplicate ID",IF(OR(NOT(ISNUMBER(B254)),C254="",E254="",H254="",P254="",AND(OR(H254="First contact",H254="Reply",H254="Positive reply",H254="Permission confirmed"),D254=""),AND(OR(H254="First contact",H254="Permission confirmed"),OR(T254&lt;&gt;"Reviewed and confirmed",U254="",V254="")),AND(H254="Fit qualified",OR(J254&lt;&gt;"Qualified",K254="",M254="",N254="",NOT(ISNUMBER(O254)))),AND(H254="Route recommended",K254=""),AND(OR(H254="Objection",H254="No fit",H254="Lost"),L254="")),"Incomplete","Ready")))</x:f>
      </x:c>
      <x:c r="T254" s="42"/>
      <x:c r="U254" s="42"/>
      <x:c r="V254" s="42"/>
    </x:row>
    <x:row r="255" ht="23" customHeight="1">
      <x:c r="A255" s="42"/>
      <x:c r="B255" s="43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3"/>
      <x:c r="P255" s="42"/>
      <x:c r="Q255" s="44" t="str">
        <x:f>IF(A255="","",IF(OR(H255="First contact",H255="Reply",H255="Positive reply",H255="Permission confirmed"),"C|"&amp;D255&amp;"|"&amp;H255,"O|"&amp;C255&amp;"|"&amp;H255))</x:f>
      </x:c>
      <x:c r="R255" s="44" t="str">
        <x:f>IF(A255="","",IF(S255&lt;&gt;"Ready","Incomplete",IF(COUNTIFS($Q$8:$Q$257,Q255,$S$8:$S$257,"Ready",$B$8:$B$257,"&lt;"&amp;B255)&gt;0,0,IF(COUNTIFS($Q$8:Q255,Q255,$S$8:S255,"Ready",$B$8:B255,B255)=1,1,0))))</x:f>
      </x:c>
      <x:c r="S255" s="44" t="str">
        <x:f>IF(A255="","",IF(COUNTIFS($A$8:$A$257,A255)&gt;1,"Duplicate ID",IF(OR(NOT(ISNUMBER(B255)),C255="",E255="",H255="",P255="",AND(OR(H255="First contact",H255="Reply",H255="Positive reply",H255="Permission confirmed"),D255=""),AND(OR(H255="First contact",H255="Permission confirmed"),OR(T255&lt;&gt;"Reviewed and confirmed",U255="",V255="")),AND(H255="Fit qualified",OR(J255&lt;&gt;"Qualified",K255="",M255="",N255="",NOT(ISNUMBER(O255)))),AND(H255="Route recommended",K255=""),AND(OR(H255="Objection",H255="No fit",H255="Lost"),L255="")),"Incomplete","Ready")))</x:f>
      </x:c>
      <x:c r="T255" s="42"/>
      <x:c r="U255" s="42"/>
      <x:c r="V255" s="42"/>
    </x:row>
    <x:row r="256" ht="23" customHeight="1">
      <x:c r="A256" s="42"/>
      <x:c r="B256" s="43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3"/>
      <x:c r="P256" s="42"/>
      <x:c r="Q256" s="44" t="str">
        <x:f>IF(A256="","",IF(OR(H256="First contact",H256="Reply",H256="Positive reply",H256="Permission confirmed"),"C|"&amp;D256&amp;"|"&amp;H256,"O|"&amp;C256&amp;"|"&amp;H256))</x:f>
      </x:c>
      <x:c r="R256" s="44" t="str">
        <x:f>IF(A256="","",IF(S256&lt;&gt;"Ready","Incomplete",IF(COUNTIFS($Q$8:$Q$257,Q256,$S$8:$S$257,"Ready",$B$8:$B$257,"&lt;"&amp;B256)&gt;0,0,IF(COUNTIFS($Q$8:Q256,Q256,$S$8:S256,"Ready",$B$8:B256,B256)=1,1,0))))</x:f>
      </x:c>
      <x:c r="S256" s="44" t="str">
        <x:f>IF(A256="","",IF(COUNTIFS($A$8:$A$257,A256)&gt;1,"Duplicate ID",IF(OR(NOT(ISNUMBER(B256)),C256="",E256="",H256="",P256="",AND(OR(H256="First contact",H256="Reply",H256="Positive reply",H256="Permission confirmed"),D256=""),AND(OR(H256="First contact",H256="Permission confirmed"),OR(T256&lt;&gt;"Reviewed and confirmed",U256="",V256="")),AND(H256="Fit qualified",OR(J256&lt;&gt;"Qualified",K256="",M256="",N256="",NOT(ISNUMBER(O256)))),AND(H256="Route recommended",K256=""),AND(OR(H256="Objection",H256="No fit",H256="Lost"),L256="")),"Incomplete","Ready")))</x:f>
      </x:c>
      <x:c r="T256" s="42"/>
      <x:c r="U256" s="42"/>
      <x:c r="V256" s="42"/>
    </x:row>
    <x:row r="257" ht="23" customHeight="1">
      <x:c r="A257" s="42"/>
      <x:c r="B257" s="43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3"/>
      <x:c r="P257" s="42"/>
      <x:c r="Q257" s="44" t="str">
        <x:f>IF(A257="","",IF(OR(H257="First contact",H257="Reply",H257="Positive reply",H257="Permission confirmed"),"C|"&amp;D257&amp;"|"&amp;H257,"O|"&amp;C257&amp;"|"&amp;H257))</x:f>
      </x:c>
      <x:c r="R257" s="44" t="str">
        <x:f>IF(A257="","",IF(S257&lt;&gt;"Ready","Incomplete",IF(COUNTIFS($Q$8:$Q$257,Q257,$S$8:$S$257,"Ready",$B$8:$B$257,"&lt;"&amp;B257)&gt;0,0,IF(COUNTIFS($Q$8:Q257,Q257,$S$8:S257,"Ready",$B$8:B257,B257)=1,1,0))))</x:f>
      </x:c>
      <x:c r="S257" s="44" t="str">
        <x:f>IF(A257="","",IF(COUNTIFS($A$8:$A$257,A257)&gt;1,"Duplicate ID",IF(OR(NOT(ISNUMBER(B257)),C257="",E257="",H257="",P257="",AND(OR(H257="First contact",H257="Reply",H257="Positive reply",H257="Permission confirmed"),D257=""),AND(OR(H257="First contact",H257="Permission confirmed"),OR(T257&lt;&gt;"Reviewed and confirmed",U257="",V257="")),AND(H257="Fit qualified",OR(J257&lt;&gt;"Qualified",K257="",M257="",N257="",NOT(ISNUMBER(O257)))),AND(H257="Route recommended",K257=""),AND(OR(H257="Objection",H257="No fit",H257="Lost"),L257="")),"Incomplete","Ready")))</x:f>
      </x:c>
      <x:c r="T257" s="42"/>
      <x:c r="U257" s="42"/>
      <x:c r="V257" s="42"/>
    </x:row>
  </x:sheetData>
  <x:conditionalFormatting sqref="S8:S257">
    <x:cfRule type="containsText" dxfId="1" priority="1" operator="containsText" text="Incomplete"/>
    <x:cfRule type="containsText" dxfId="2" priority="2" operator="containsText" text="Duplicate"/>
  </x:conditionalFormatting>
  <x:dataValidations count="8">
    <x:dataValidation type="list" sqref="E8:E257">
      <x:formula1>"Buyer,Partner"</x:formula1>
    </x:dataValidation>
    <x:dataValidation type="list" sqref="F8:F257">
      <x:formula1>"Public research,Existing relationship,Welcomed introduction,Partner introduction,Researched permissioned,Public-content inbound,Community inbound,Unknown"</x:formula1>
    </x:dataValidation>
    <x:dataValidation type="list" sqref="G8:G257">
      <x:formula1>"Website,Email,LinkedIn message,Agreed phone,In person,Inbound form,Unknown"</x:formula1>
    </x:dataValidation>
    <x:dataValidation type="list" sqref="H8:H257">
      <x:formula1>"Research,Permission confirmed,First contact,Reply,Positive reply,Fit booked,Fit attended,Fit qualified,Route recommended,Proposal,Won,Lost,Objection,No fit"</x:formula1>
    </x:dataValidation>
    <x:dataValidation type="list" sqref="J8:J257">
      <x:formula1>"Not assessed,Qualified,No fit,Nurture,More information"</x:formula1>
    </x:dataValidation>
    <x:dataValidation type="list" sqref="K8:K257">
      <x:formula1>"Heutrix Diagnostics,Heutrix Workflow Transformation,Heutrix AI Guardrails"</x:formula1>
    </x:dataValidation>
    <x:dataValidation type="list" sqref="L8:L257">
      <x:formula1>"No priority,No budget,No owner,No staff capacity,Access uncertainty,Wrong scope,Timing,Existing solution,No response,Other"</x:formula1>
    </x:dataValidation>
    <x:dataValidation type="list" sqref="T8:T257">
      <x:formula1>"None,Reviewed and confirmed,Withdrawn,Unknown"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bd2e980fec43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33" hidden="0" customWidth="1"/>
    <x:col min="4" max="4" width="28" hidden="0" customWidth="1"/>
    <x:col min="5" max="5" width="49" hidden="0" customWidth="1"/>
    <x:col min="6" max="6" width="51" hidden="0" customWidth="1"/>
    <x:col min="7" max="7" width="32" hidden="0" customWidth="1"/>
    <x:col min="8" max="8" width="35" hidden="0" customWidth="1"/>
    <x:col min="9" max="9" width="26" hidden="0" customWidth="1"/>
    <x:col min="10" max="10" width="14" hidden="0" customWidth="1"/>
    <x:col min="11" max="11" width="55" hidden="0" customWidth="1"/>
    <x:col min="12" max="12" width="55" hidden="0" customWidth="1"/>
  </x:cols>
  <x:sheetData>
    <x:row r="2" ht="23" customHeight="1">
      <x:c r="B2" s="29" t="str">
        <x:v>First provider research shortlist</x:v>
      </x:c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3" customHeight="1">
      <x:c r="B3" s="30" t="str">
        <x:v>Ten public-screen matches. Actual workflow pain, buyer authority, budget and permission remain unverified.</x:v>
      </x:c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23" customHeight="1">
      <x:c r="B4" s="30" t="str">
        <x:v>No contact names, email addresses or participant records. Stable IDs are not a buying-intent ranking.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23" customHeight="1"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 ht="42" customHeight="1">
      <x:c r="B6" s="34" t="str">
        <x:v>ID</x:v>
      </x:c>
      <x:c r="C6" s="34" t="str">
        <x:v>Organisation</x:v>
      </x:c>
      <x:c r="D6" s="34" t="str">
        <x:v>Public location</x:v>
      </x:c>
      <x:c r="E6" s="34" t="str">
        <x:v>Observed business signal</x:v>
      </x:c>
      <x:c r="F6" s="34" t="str">
        <x:v>Workflow question (hypothesis)</x:v>
      </x:c>
      <x:c r="G6" s="34" t="str">
        <x:v>Suggested role (unverified)</x:v>
      </x:c>
      <x:c r="H6" s="34" t="str">
        <x:v>Focus</x:v>
      </x:c>
      <x:c r="I6" s="34" t="str">
        <x:v>Permission</x:v>
      </x:c>
      <x:c r="J6" s="34" t="str">
        <x:v>Source checked</x:v>
      </x:c>
      <x:c r="K6" s="34" t="str">
        <x:v>Source URL</x:v>
      </x:c>
      <x:c r="L6" s="34" t="str">
        <x:v>Additional source</x:v>
      </x:c>
    </x:row>
    <x:row r="7" ht="100" customHeight="1">
      <x:c r="B7" s="45" t="str">
        <x:v>H001</x:v>
      </x:c>
      <x:c r="C7" s="45" t="str">
        <x:v>Interaction Disability Services</x:v>
      </x:c>
      <x:c r="D7" s="45" t="str">
        <x:v>Sydney / NSW</x:v>
      </x:c>
      <x:c r="E7" s="45" t="str">
        <x:v>Lists accommodation, support coordination and community access. Its FAQ says capacity and waitlists differ by service and location.</x:v>
      </x:c>
      <x:c r="F7" s="45" t="str">
        <x:v>When an enquiry needs a different service or location, how does the team retain one visible owner and next review date?</x:v>
      </x:c>
      <x:c r="G7" s="45" t="str">
        <x:v>Operations or intake manager</x:v>
      </x:c>
      <x:c r="H7" s="45" t="str">
        <x:v>Enquiry allocation across services</x:v>
      </x:c>
      <x:c r="I7" s="45" t="str">
        <x:v>None — owner confirmed</x:v>
      </x:c>
      <x:c r="J7" s="46" t="n">
        <x:v>46280</x:v>
      </x:c>
      <x:c r="K7" s="45" t="str">
        <x:v>https://interactionservices.org/</x:v>
      </x:c>
      <x:c r="L7" s="45"/>
    </x:row>
    <x:row r="8" ht="100" customHeight="1">
      <x:c r="B8" s="45" t="str">
        <x:v>H002</x:v>
      </x:c>
      <x:c r="C8" s="45" t="str">
        <x:v>North West Disability Services</x:v>
      </x:c>
      <x:c r="D8" s="45" t="str">
        <x:v>Western Sydney / NSW</x:v>
      </x:c>
      <x:c r="E8" s="45" t="str">
        <x:v>Describes daily living, accommodation, children's services and individual support across Western Sydney and beyond.</x:v>
      </x:c>
      <x:c r="F8" s="45" t="str">
        <x:v>When a new enquiry spans more than one support stream, how does the team see which stream owns the next action?</x:v>
      </x:c>
      <x:c r="G8" s="45" t="str">
        <x:v>Service-delivery or operations manager</x:v>
      </x:c>
      <x:c r="H8" s="45" t="str">
        <x:v>Cross-service enquiry ownership</x:v>
      </x:c>
      <x:c r="I8" s="45" t="str">
        <x:v>None — owner confirmed</x:v>
      </x:c>
      <x:c r="J8" s="46" t="n">
        <x:v>46280</x:v>
      </x:c>
      <x:c r="K8" s="45" t="str">
        <x:v>https://www.nwds.org.au/</x:v>
      </x:c>
      <x:c r="L8" s="45"/>
    </x:row>
    <x:row r="9" ht="100" customHeight="1">
      <x:c r="B9" s="45" t="str">
        <x:v>H003</x:v>
      </x:c>
      <x:c r="C9" s="45" t="str">
        <x:v>Thorndale Foundation</x:v>
      </x:c>
      <x:c r="D9" s="45" t="str">
        <x:v>Werrington / Western Sydney</x:v>
      </x:c>
      <x:c r="E9" s="45" t="str">
        <x:v>Lists residential services, day programs and supported employment, with a public service enquiry form.</x:v>
      </x:c>
      <x:c r="F9" s="45" t="str">
        <x:v>How does an enquiry move from the initial form to the person responsible for the relevant program?</x:v>
      </x:c>
      <x:c r="G9" s="45" t="str">
        <x:v>Operations or service manager</x:v>
      </x:c>
      <x:c r="H9" s="45" t="str">
        <x:v>Enquiry-to-program handover</x:v>
      </x:c>
      <x:c r="I9" s="45" t="str">
        <x:v>None — owner confirmed</x:v>
      </x:c>
      <x:c r="J9" s="46" t="n">
        <x:v>46280</x:v>
      </x:c>
      <x:c r="K9" s="45" t="str">
        <x:v>https://www.thorndale.com.au/</x:v>
      </x:c>
      <x:c r="L9" s="45"/>
    </x:row>
    <x:row r="10" ht="100" customHeight="1">
      <x:c r="B10" s="45" t="str">
        <x:v>H004</x:v>
      </x:c>
      <x:c r="C10" s="45" t="str">
        <x:v>DARE Disability Support</x:v>
      </x:c>
      <x:c r="D10" s="45" t="str">
        <x:v>Blue Mountains / Penrith / Hawkesbury</x:v>
      </x:c>
      <x:c r="E10" s="45" t="str">
        <x:v>Lists supported living, community hub activities, support coordination and employment support across its stated NSW regions.</x:v>
      </x:c>
      <x:c r="F10" s="45" t="str">
        <x:v>When an enquiry involves more than one program, where can the next responsible person see its current status?</x:v>
      </x:c>
      <x:c r="G10" s="45" t="str">
        <x:v>Operations or intake lead</x:v>
      </x:c>
      <x:c r="H10" s="45" t="str">
        <x:v>Multi-program intake visibility</x:v>
      </x:c>
      <x:c r="I10" s="45" t="str">
        <x:v>None — owner confirmed</x:v>
      </x:c>
      <x:c r="J10" s="46" t="n">
        <x:v>46280</x:v>
      </x:c>
      <x:c r="K10" s="45" t="str">
        <x:v>https://www.daredisability.org.au/</x:v>
      </x:c>
      <x:c r="L10" s="45"/>
    </x:row>
    <x:row r="11" ht="100" customHeight="1">
      <x:c r="B11" s="45" t="str">
        <x:v>H005</x:v>
      </x:c>
      <x:c r="C11" s="45" t="str">
        <x:v>New Haven Farm Home</x:v>
      </x:c>
      <x:c r="D11" s="45" t="str">
        <x:v>Hawkesbury / NSW</x:v>
      </x:c>
      <x:c r="E11" s="45" t="str">
        <x:v>Describes supported accommodation and community participation across several residences; the Commission lists a NSW head office.</x:v>
      </x:c>
      <x:c r="F11" s="45" t="str">
        <x:v>Before an accommodation service starts, how are the remaining administrative actions and their owners made visible?</x:v>
      </x:c>
      <x:c r="G11" s="45" t="str">
        <x:v>Operations or accommodation manager</x:v>
      </x:c>
      <x:c r="H11" s="45" t="str">
        <x:v>Accommodation commencement handover</x:v>
      </x:c>
      <x:c r="I11" s="45" t="str">
        <x:v>None — owner confirmed</x:v>
      </x:c>
      <x:c r="J11" s="46" t="n">
        <x:v>46280</x:v>
      </x:c>
      <x:c r="K11" s="45" t="str">
        <x:v>https://newhavenfarm.org.au/</x:v>
      </x:c>
      <x:c r="L11" s="45" t="str">
        <x:v>https://www.ndiscommission.gov.au/provider-registration/new-haven-farm-home-ltd</x:v>
      </x:c>
    </x:row>
    <x:row r="12" ht="100" customHeight="1">
      <x:c r="B12" s="45" t="str">
        <x:v>H006</x:v>
      </x:c>
      <x:c r="C12" s="45" t="str">
        <x:v>Woodville Alliance</x:v>
      </x:c>
      <x:c r="D12" s="45" t="str">
        <x:v>Western Sydney / NSW</x:v>
      </x:c>
      <x:c r="E12" s="45" t="str">
        <x:v>Describes disability hubs in Canley Vale, Chester Hill and Bonnyrigg, alongside individualised and community support.</x:v>
      </x:c>
      <x:c r="F12" s="45" t="str">
        <x:v>When an enquiry is allocated between hubs or individual support, how does the team keep the owner and next action clear?</x:v>
      </x:c>
      <x:c r="G12" s="45" t="str">
        <x:v>Disability operations or intake manager</x:v>
      </x:c>
      <x:c r="H12" s="45" t="str">
        <x:v>Enquiry allocation between hubs</x:v>
      </x:c>
      <x:c r="I12" s="45" t="str">
        <x:v>None — owner confirmed</x:v>
      </x:c>
      <x:c r="J12" s="46" t="n">
        <x:v>46280</x:v>
      </x:c>
      <x:c r="K12" s="45" t="str">
        <x:v>https://woodville.org.au/for-families/disability-services/</x:v>
      </x:c>
      <x:c r="L12" s="45"/>
    </x:row>
    <x:row r="13" ht="100" customHeight="1">
      <x:c r="B13" s="45" t="str">
        <x:v>H007</x:v>
      </x:c>
      <x:c r="C13" s="45" t="str">
        <x:v>NADO Disability Services</x:v>
      </x:c>
      <x:c r="D13" s="45" t="str">
        <x:v>Penrith / Western Sydney</x:v>
      </x:c>
      <x:c r="E13" s="45" t="str">
        <x:v>Its supported-living page provides an accommodation enquiry form and lists other disability-service streams.</x:v>
      </x:c>
      <x:c r="F13" s="45" t="str">
        <x:v>After an accommodation enquiry arrives, how does the team track outstanding information and the next administrative review?</x:v>
      </x:c>
      <x:c r="G13" s="45" t="str">
        <x:v>Accommodation or operations manager</x:v>
      </x:c>
      <x:c r="H13" s="45" t="str">
        <x:v>Accommodation enquiry follow-up</x:v>
      </x:c>
      <x:c r="I13" s="45" t="str">
        <x:v>None — owner confirmed</x:v>
      </x:c>
      <x:c r="J13" s="46" t="n">
        <x:v>46280</x:v>
      </x:c>
      <x:c r="K13" s="45" t="str">
        <x:v>https://nado.org.au/supported-independent-living/</x:v>
      </x:c>
      <x:c r="L13" s="45"/>
    </x:row>
    <x:row r="14" ht="100" customHeight="1">
      <x:c r="B14" s="45" t="str">
        <x:v>H008</x:v>
      </x:c>
      <x:c r="C14" s="45" t="str">
        <x:v>Melbourne Disability Services</x:v>
      </x:c>
      <x:c r="D14" s="45" t="str">
        <x:v>Coolaroo / Melbourne</x:v>
      </x:c>
      <x:c r="E14" s="45" t="str">
        <x:v>The referral form spans supported living, community participation, daily living and other services, with referrer/contact routing fields.</x:v>
      </x:c>
      <x:c r="F14" s="45" t="str">
        <x:v>How does the intake team track which service owns a referral and who should receive the next update?</x:v>
      </x:c>
      <x:c r="G14" s="45" t="str">
        <x:v>Intake or operations manager</x:v>
      </x:c>
      <x:c r="H14" s="45" t="str">
        <x:v>Referral ownership and communication</x:v>
      </x:c>
      <x:c r="I14" s="45" t="str">
        <x:v>None — owner confirmed</x:v>
      </x:c>
      <x:c r="J14" s="46" t="n">
        <x:v>46280</x:v>
      </x:c>
      <x:c r="K14" s="45" t="str">
        <x:v>https://www.melbournedisabilityservices.com.au/make-a-referral</x:v>
      </x:c>
      <x:c r="L14" s="45"/>
    </x:row>
    <x:row r="15" ht="100" customHeight="1">
      <x:c r="B15" s="45" t="str">
        <x:v>H009</x:v>
      </x:c>
      <x:c r="C15" s="45" t="str">
        <x:v>Aleph Health</x:v>
      </x:c>
      <x:c r="D15" s="45" t="str">
        <x:v>Melbourne / Victoria</x:v>
      </x:c>
      <x:c r="E15" s="45" t="str">
        <x:v>Publishes a staged referral process from intake review through service matching and transition coordination.</x:v>
      </x:c>
      <x:c r="F15" s="45" t="str">
        <x:v>Across your intake, service-matching and transition steps, how are outstanding administrative actions tracked between roles?</x:v>
      </x:c>
      <x:c r="G15" s="45" t="str">
        <x:v>Intake or operations manager</x:v>
      </x:c>
      <x:c r="H15" s="45" t="str">
        <x:v>Intake-to-transition action tracking</x:v>
      </x:c>
      <x:c r="I15" s="45" t="str">
        <x:v>None — owner confirmed</x:v>
      </x:c>
      <x:c r="J15" s="46" t="n">
        <x:v>46280</x:v>
      </x:c>
      <x:c r="K15" s="45" t="str">
        <x:v>https://www.alephhealth.com.au/</x:v>
      </x:c>
      <x:c r="L15" s="45"/>
    </x:row>
    <x:row r="16" ht="100" customHeight="1">
      <x:c r="B16" s="45" t="str">
        <x:v>H010</x:v>
      </x:c>
      <x:c r="C16" s="45" t="str">
        <x:v>Waratah Connects</x:v>
      </x:c>
      <x:c r="D16" s="45" t="str">
        <x:v>Melbourne and Sydney</x:v>
      </x:c>
      <x:c r="E16" s="45" t="str">
        <x:v>Describes disability support across both cities and provides a referral route. Its footer says NDIS registration is in progress.</x:v>
      </x:c>
      <x:c r="F16" s="45" t="str">
        <x:v>When a referral is allocated to the relevant city team, how does the team keep ownership and follow-up visible?</x:v>
      </x:c>
      <x:c r="G16" s="45" t="str">
        <x:v>Director or operations manager</x:v>
      </x:c>
      <x:c r="H16" s="45" t="str">
        <x:v>Cross-city referral allocation</x:v>
      </x:c>
      <x:c r="I16" s="45" t="str">
        <x:v>None — owner confirmed</x:v>
      </x:c>
      <x:c r="J16" s="46" t="n">
        <x:v>46280</x:v>
      </x:c>
      <x:c r="K16" s="45" t="str">
        <x:v>https://waratahconnects.com.au/</x:v>
      </x:c>
      <x:c r="L16" s="45"/>
    </x:row>
    <x:row r="17" ht="23" customHeight="1"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</x:row>
  </x:sheetData>
  <x:pageMargins left="0.7" right="0.7" top="0.75" bottom="0.75" header="0.3" footer="0.3"/>
  <x:tableParts count="1">
    <x:tablePart xmlns:r="http://schemas.openxmlformats.org/officeDocument/2006/relationships" r:id="R985ae29ea58f4fbf"/>
  </x:tableParts>
</x:worksheet>
</file>