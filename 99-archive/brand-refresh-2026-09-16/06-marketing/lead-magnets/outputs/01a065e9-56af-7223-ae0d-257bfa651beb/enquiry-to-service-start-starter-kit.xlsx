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f59f6bbff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83abb086af94908"/>
    <x:sheet xmlns:r="http://schemas.openxmlformats.org/officeDocument/2006/relationships" name="Live Tracker" sheetId="2" r:id="R613a0b3164bd4c01"/>
    <x:sheet xmlns:r="http://schemas.openxmlformats.org/officeDocument/2006/relationships" name="Review View" sheetId="3" r:id="R762bf4be34844d07"/>
    <x:sheet xmlns:r="http://schemas.openxmlformats.org/officeDocument/2006/relationships" name="Status Guide" sheetId="4" r:id="R26aa1c2965ee48a2"/>
    <x:sheet xmlns:r="http://schemas.openxmlformats.org/officeDocument/2006/relationships" name="Synthetic Example" sheetId="5" r:id="Rbb258ec27481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20"/>
      <x:color rgb="FFFFFFFF"/>
      <x:name val="Aptos Display"/>
    </x:font>
    <x:font>
      <x:sz val="11"/>
      <x:color rgb="FF0B1C30"/>
      <x:name val="Aptos"/>
    </x:font>
    <x:font>
      <x:b/>
      <x:sz val="10"/>
      <x:color rgb="FFFFFFFF"/>
      <x:name val="Aptos"/>
    </x:font>
    <x:font>
      <x:sz val="10"/>
      <x:color rgb="FF0B1C30"/>
      <x:name val="Aptos"/>
    </x:font>
    <x:font>
      <x:b/>
      <x:sz val="12"/>
      <x:color rgb="FF091426"/>
      <x:name val="Aptos"/>
    </x:font>
    <x:font>
      <x:b/>
      <x:sz val="16"/>
      <x:color rgb="FF091426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EFF4FF"/>
      </x:patternFill>
    </x:fill>
    <x:fill>
      <x:patternFill patternType="solid">
        <x:fgColor rgb="FFFFFFFF"/>
      </x:patternFill>
    </x:fill>
    <x:fill>
      <x:patternFill patternType="solid">
        <x:fgColor rgb="FF6FFBBE"/>
      </x:patternFill>
    </x:fill>
    <x:fill>
      <x:patternFill patternType="solid">
        <x:fgColor rgb="FFFFE4E6"/>
      </x:patternFill>
    </x:fill>
    <x:fill>
      <x:patternFill patternType="solid">
        <x:fgColor rgb="FFFFF4CE"/>
      </x:patternFill>
    </x:fill>
  </x:fills>
  <x:borders count="17">
    <x:border/>
    <x:border>
      <x:left style="thin">
        <x:color rgb="FF1E293B"/>
      </x:left>
      <x:top style="thin">
        <x:color rgb="FF1E293B"/>
      </x:top>
      <x:bottom style="thin">
        <x:color rgb="FF1E293B"/>
      </x:bottom>
    </x:border>
    <x:border>
      <x:top style="thin">
        <x:color rgb="FF1E293B"/>
      </x:top>
      <x:bottom style="thin">
        <x:color rgb="FF1E293B"/>
      </x:bottom>
    </x:border>
    <x:border>
      <x:right style="thin">
        <x:color rgb="FF1E293B"/>
      </x:right>
      <x:top style="thin">
        <x:color rgb="FF1E293B"/>
      </x:top>
      <x:bottom style="thin">
        <x:color rgb="FF1E293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7" xfId="0" applyNumberFormat="1" applyFont="1" applyFill="1" applyBorder="1" applyAlignment="1">
      <x:alignment horizontal="center" vertical="top" wrapText="1"/>
    </x:xf>
    <x:xf numFmtId="0" fontId="5" fillId="5" borderId="9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2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200" fontId="4" fillId="7" borderId="10" xfId="0" applyNumberFormat="1" applyFont="1" applyFill="1" applyBorder="1" applyAlignment="1">
      <x:alignment vertical="top" wrapText="1"/>
    </x:xf>
    <x:xf numFmtId="200" fontId="4" fillId="7" borderId="12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vertical="top" wrapText="1"/>
    </x:xf>
    <x:xf numFmtId="0" fontId="6" fillId="5" borderId="16" xfId="0" applyNumberFormat="1" applyFont="1" applyFill="1" applyBorder="1" applyAlignment="1">
      <x:alignment horizontal="center" vertical="top" wrapText="1"/>
    </x:xf>
    <x:xf numFmtId="0" fontId="6" fillId="5" borderId="6" xfId="0" applyNumberFormat="1" applyFont="1" applyFill="1" applyBorder="1" applyAlignment="1">
      <x:alignment horizontal="center" vertical="top"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200" fontId="4" fillId="4" borderId="5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F1239"/>
      </x:font>
      <x:fill>
        <x:patternFill patternType="solid">
          <x:bgColor rgb="FFFF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a0e5683ba4879" /><Relationship Type="http://schemas.openxmlformats.org/officeDocument/2006/relationships/theme" Target="/xl/theme/theme1.xml" Id="R493f086c529841e0" /><Relationship Type="http://schemas.openxmlformats.org/officeDocument/2006/relationships/sharedStrings" Target="/xl/sharedStrings.xml" Id="R1c0d33dcb0a44fdb" /><Relationship Type="http://schemas.openxmlformats.org/officeDocument/2006/relationships/worksheet" Target="/xl/worksheets/sheet1.xml" Id="R983abb086af94908" /><Relationship Type="http://schemas.openxmlformats.org/officeDocument/2006/relationships/worksheet" Target="/xl/worksheets/sheet2.xml" Id="R613a0b3164bd4c01" /><Relationship Type="http://schemas.openxmlformats.org/officeDocument/2006/relationships/worksheet" Target="/xl/worksheets/sheet3.xml" Id="R762bf4be34844d07" /><Relationship Type="http://schemas.openxmlformats.org/officeDocument/2006/relationships/worksheet" Target="/xl/worksheets/sheet4.xml" Id="R26aa1c2965ee48a2" /><Relationship Type="http://schemas.openxmlformats.org/officeDocument/2006/relationships/worksheet" Target="/xl/worksheets/sheet5.xml" Id="Rbb258ec27481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Enquiry-to-Service-Start Visibility Starter Kit</x:v>
      </x:c>
      <x:c r="B1" s="3" t="str">
        <x:v>Enquiry-to-Service-Start Visibility Starter Kit</x:v>
      </x:c>
      <x:c r="C1" s="3" t="str">
        <x:v>Enquiry-to-Service-Start Visibility Starter Kit</x:v>
      </x:c>
      <x:c r="D1" s="3" t="str">
        <x:v>Enquiry-to-Service-Start Visibility Starter Kit</x:v>
      </x:c>
      <x:c r="E1" s="3" t="str">
        <x:v>Enquiry-to-Service-Start Visibility Starter Kit</x:v>
      </x:c>
      <x:c r="F1" s="3" t="str">
        <x:v>Enquiry-to-Service-Start Visibility Starter Kit</x:v>
      </x:c>
      <x:c r="G1" s="3" t="str">
        <x:v>Enquiry-to-Service-Start Visibility Starter Kit</x:v>
      </x:c>
      <x:c r="H1" s="3" t="str">
        <x:v>Enquiry-to-Service-Start Visibility Starter Kit</x:v>
      </x:c>
    </x:row>
    <x:row r="2" ht="26" customHeight="1">
      <x:c r="A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B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C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D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E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F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G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H2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</x:row>
    <x:row r="3" ht="26" customHeight="1">
      <x:c r="A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B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C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D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E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F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G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  <x:c r="H3" s="7" t="str">
        <x:v>A disability-provider-first operational tracker for making owner, status, next action, due date, exception and readiness decisions visible. Selected allied health practices can adapt the terminology for referral and appointment workflows.</x:v>
      </x:c>
    </x:row>
    <x:row r="5" ht="30" customHeight="1">
      <x:c r="A5" s="15" t="str">
        <x:v>How to use this workbook</x:v>
      </x:c>
      <x:c r="B5" s="16"/>
      <x:c r="C5" s="16"/>
      <x:c r="D5" s="16"/>
      <x:c r="E5" s="16"/>
      <x:c r="F5" s="16"/>
      <x:c r="G5" s="16"/>
      <x:c r="H5" s="17"/>
    </x:row>
    <x:row r="6">
      <x:c r="A6" s="55" t="str">
        <x:v>1</x:v>
      </x:c>
      <x:c r="B6" s="38" t="str">
        <x:v>Agree the workflow boundary and status definitions before entering records.</x:v>
      </x:c>
      <x:c r="C6" s="38" t="str"/>
      <x:c r="D6" s="38" t="str"/>
      <x:c r="E6" s="38" t="str"/>
      <x:c r="F6" s="38" t="str"/>
      <x:c r="G6" s="38" t="str"/>
      <x:c r="H6" s="39" t="str"/>
    </x:row>
    <x:row r="7">
      <x:c r="A7" s="56" t="str">
        <x:v>2</x:v>
      </x:c>
      <x:c r="B7" s="41" t="str">
        <x:v>Copy the Live Tracker into an owner-approved system and use only the minimum information needed.</x:v>
      </x:c>
      <x:c r="C7" s="41" t="str"/>
      <x:c r="D7" s="41" t="str"/>
      <x:c r="E7" s="41" t="str"/>
      <x:c r="F7" s="41" t="str"/>
      <x:c r="G7" s="41" t="str"/>
      <x:c r="H7" s="42" t="str"/>
    </x:row>
    <x:row r="8">
      <x:c r="A8" s="56" t="str">
        <x:v>3</x:v>
      </x:c>
      <x:c r="B8" s="41" t="str">
        <x:v>Review attention items, ageing, exceptions and decisions at an agreed rhythm.</x:v>
      </x:c>
      <x:c r="C8" s="41" t="str"/>
      <x:c r="D8" s="41" t="str"/>
      <x:c r="E8" s="41" t="str"/>
      <x:c r="F8" s="41" t="str"/>
      <x:c r="G8" s="41" t="str"/>
      <x:c r="H8" s="42" t="str"/>
    </x:row>
    <x:row r="9">
      <x:c r="A9" s="57" t="str">
        <x:v>4</x:v>
      </x:c>
      <x:c r="B9" s="44" t="str">
        <x:v>Change fields only when a named owner agrees what decision the field supports.</x:v>
      </x:c>
      <x:c r="C9" s="44" t="str"/>
      <x:c r="D9" s="44" t="str"/>
      <x:c r="E9" s="44" t="str"/>
      <x:c r="F9" s="44" t="str"/>
      <x:c r="G9" s="44" t="str"/>
      <x:c r="H9" s="45" t="str"/>
    </x:row>
    <x:row r="11" ht="30" customHeight="1">
      <x:c r="A11" s="15" t="str">
        <x:v>Information boundary</x:v>
      </x:c>
      <x:c r="B11" s="16"/>
      <x:c r="C11" s="16"/>
      <x:c r="D11" s="16"/>
      <x:c r="E11" s="16"/>
      <x:c r="F11" s="16"/>
      <x:c r="G11" s="16"/>
      <x:c r="H11" s="17"/>
    </x:row>
    <x:row r="12">
      <x:c r="A12" s="72" t="str">
        <x:v>The template is not an approved client-data store. Use synthetic or appropriately de-identified information until your organisation has approved purpose, access, storage, retention and deletion. Do not place participant, patient, clinical, credential or other sensitive detail in this workbook.</x:v>
      </x:c>
      <x:c r="B12" s="73"/>
      <x:c r="C12" s="73"/>
      <x:c r="D12" s="73"/>
      <x:c r="E12" s="73"/>
      <x:c r="F12" s="73"/>
      <x:c r="G12" s="73"/>
      <x:c r="H12" s="74"/>
    </x:row>
    <x:row r="13">
      <x:c r="A13" s="75"/>
      <x:c r="B13" s="76"/>
      <x:c r="C13" s="76"/>
      <x:c r="D13" s="76"/>
      <x:c r="E13" s="76"/>
      <x:c r="F13" s="76"/>
      <x:c r="G13" s="76"/>
      <x:c r="H13" s="77"/>
    </x:row>
    <x:row r="15" ht="30" customHeight="1">
      <x:c r="A15" s="15" t="str">
        <x:v>Included companion files</x:v>
      </x:c>
      <x:c r="B15" s="16"/>
      <x:c r="C15" s="16"/>
      <x:c r="D15" s="16"/>
      <x:c r="E15" s="16"/>
      <x:c r="F15" s="16"/>
      <x:c r="G15" s="16"/>
      <x:c r="H15" s="17"/>
    </x:row>
    <x:row r="16">
      <x:c r="A16" s="37" t="str">
        <x:v>Visibility starter kit workbook</x:v>
      </x:c>
      <x:c r="B16" s="38" t="str"/>
      <x:c r="C16" s="38" t="str"/>
      <x:c r="D16" s="38" t="str"/>
      <x:c r="E16" s="38" t="str"/>
      <x:c r="F16" s="38" t="str"/>
      <x:c r="G16" s="38" t="str"/>
      <x:c r="H16" s="39" t="str"/>
    </x:row>
    <x:row r="17">
      <x:c r="A17" s="43" t="str">
        <x:v>Companion field guide (PDF)</x:v>
      </x:c>
      <x:c r="B17" s="44" t="str"/>
      <x:c r="C17" s="44" t="str"/>
      <x:c r="D17" s="44" t="str"/>
      <x:c r="E17" s="44" t="str"/>
      <x:c r="F17" s="44" t="str"/>
      <x:c r="G17" s="44" t="str"/>
      <x:c r="H17" s="45" t="str"/>
    </x:row>
  </x:sheetData>
  <x:mergeCells>
    <x:mergeCell ref="A1:H1"/>
    <x:mergeCell ref="A2:H3"/>
    <x:mergeCell ref="A5:H5"/>
    <x:mergeCell ref="B6:H6"/>
    <x:mergeCell ref="B7:H7"/>
    <x:mergeCell ref="B8:H8"/>
    <x:mergeCell ref="B9:H9"/>
    <x:mergeCell ref="A11:H11"/>
    <x:mergeCell ref="A12:H13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7" hidden="0" customWidth="1"/>
    <x:col min="4" max="4" width="18" hidden="0" customWidth="1"/>
    <x:col min="5" max="5" width="30" hidden="0" customWidth="1"/>
    <x:col min="6" max="6" width="13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  <x:col min="11" max="11" width="13" hidden="0" customWidth="1"/>
    <x:col min="12" max="12" width="32" hidden="0" customWidth="1"/>
    <x:col min="13" max="13" width="14" hidden="0" customWidth="1"/>
  </x:cols>
  <x:sheetData>
    <x:row r="1" ht="34" customHeight="1">
      <x:c r="A1" s="3" t="str">
        <x:v>Live tracker template</x:v>
      </x:c>
      <x:c r="B1" s="3" t="str">
        <x:v>Live tracker template</x:v>
      </x:c>
      <x:c r="C1" s="3" t="str">
        <x:v>Live tracker template</x:v>
      </x:c>
      <x:c r="D1" s="3" t="str">
        <x:v>Live tracker template</x:v>
      </x:c>
      <x:c r="E1" s="3" t="str">
        <x:v>Live tracker template</x:v>
      </x:c>
      <x:c r="F1" s="3" t="str">
        <x:v>Live tracker template</x:v>
      </x:c>
      <x:c r="G1" s="3" t="str">
        <x:v>Live tracker template</x:v>
      </x:c>
      <x:c r="H1" s="3" t="str">
        <x:v>Live tracker template</x:v>
      </x:c>
      <x:c r="I1" s="3" t="str">
        <x:v>Live tracker template</x:v>
      </x:c>
      <x:c r="J1" s="3" t="str">
        <x:v>Live tracker template</x:v>
      </x:c>
      <x:c r="K1" s="3" t="str">
        <x:v>Live tracker template</x:v>
      </x:c>
      <x:c r="L1" s="3" t="str">
        <x:v>Live tracker template</x:v>
      </x:c>
      <x:c r="M1" s="3" t="str">
        <x:v>Live tracker template</x:v>
      </x:c>
    </x:row>
    <x:row r="2" ht="26" customHeight="1">
      <x:c r="A2" s="7" t="str">
        <x:v>Yellow cells are inputs. Use anonymous reference IDs and operational status only. Copy into an approved system before using real work.</x:v>
      </x:c>
      <x:c r="B2" s="7" t="str">
        <x:v>Yellow cells are inputs. Use anonymous reference IDs and operational status only. Copy into an approved system before using real work.</x:v>
      </x:c>
      <x:c r="C2" s="7" t="str">
        <x:v>Yellow cells are inputs. Use anonymous reference IDs and operational status only. Copy into an approved system before using real work.</x:v>
      </x:c>
      <x:c r="D2" s="7" t="str">
        <x:v>Yellow cells are inputs. Use anonymous reference IDs and operational status only. Copy into an approved system before using real work.</x:v>
      </x:c>
      <x:c r="E2" s="7" t="str">
        <x:v>Yellow cells are inputs. Use anonymous reference IDs and operational status only. Copy into an approved system before using real work.</x:v>
      </x:c>
      <x:c r="F2" s="7" t="str">
        <x:v>Yellow cells are inputs. Use anonymous reference IDs and operational status only. Copy into an approved system before using real work.</x:v>
      </x:c>
      <x:c r="G2" s="7" t="str">
        <x:v>Yellow cells are inputs. Use anonymous reference IDs and operational status only. Copy into an approved system before using real work.</x:v>
      </x:c>
      <x:c r="H2" s="7" t="str">
        <x:v>Yellow cells are inputs. Use anonymous reference IDs and operational status only. Copy into an approved system before using real work.</x:v>
      </x:c>
      <x:c r="I2" s="7" t="str">
        <x:v>Yellow cells are inputs. Use anonymous reference IDs and operational status only. Copy into an approved system before using real work.</x:v>
      </x:c>
      <x:c r="J2" s="7" t="str">
        <x:v>Yellow cells are inputs. Use anonymous reference IDs and operational status only. Copy into an approved system before using real work.</x:v>
      </x:c>
      <x:c r="K2" s="7" t="str">
        <x:v>Yellow cells are inputs. Use anonymous reference IDs and operational status only. Copy into an approved system before using real work.</x:v>
      </x:c>
      <x:c r="L2" s="7" t="str">
        <x:v>Yellow cells are inputs. Use anonymous reference IDs and operational status only. Copy into an approved system before using real work.</x:v>
      </x:c>
      <x:c r="M2" s="7" t="str">
        <x:v>Yellow cells are inputs. Use anonymous reference IDs and operational status only. Copy into an approved system before using real work.</x:v>
      </x:c>
    </x:row>
    <x:row r="3" ht="26" customHeight="1">
      <x:c r="A3" s="7" t="str">
        <x:v>Yellow cells are inputs. Use anonymous reference IDs and operational status only. Copy into an approved system before using real work.</x:v>
      </x:c>
      <x:c r="B3" s="7" t="str">
        <x:v>Yellow cells are inputs. Use anonymous reference IDs and operational status only. Copy into an approved system before using real work.</x:v>
      </x:c>
      <x:c r="C3" s="7" t="str">
        <x:v>Yellow cells are inputs. Use anonymous reference IDs and operational status only. Copy into an approved system before using real work.</x:v>
      </x:c>
      <x:c r="D3" s="7" t="str">
        <x:v>Yellow cells are inputs. Use anonymous reference IDs and operational status only. Copy into an approved system before using real work.</x:v>
      </x:c>
      <x:c r="E3" s="7" t="str">
        <x:v>Yellow cells are inputs. Use anonymous reference IDs and operational status only. Copy into an approved system before using real work.</x:v>
      </x:c>
      <x:c r="F3" s="7" t="str">
        <x:v>Yellow cells are inputs. Use anonymous reference IDs and operational status only. Copy into an approved system before using real work.</x:v>
      </x:c>
      <x:c r="G3" s="7" t="str">
        <x:v>Yellow cells are inputs. Use anonymous reference IDs and operational status only. Copy into an approved system before using real work.</x:v>
      </x:c>
      <x:c r="H3" s="7" t="str">
        <x:v>Yellow cells are inputs. Use anonymous reference IDs and operational status only. Copy into an approved system before using real work.</x:v>
      </x:c>
      <x:c r="I3" s="7" t="str">
        <x:v>Yellow cells are inputs. Use anonymous reference IDs and operational status only. Copy into an approved system before using real work.</x:v>
      </x:c>
      <x:c r="J3" s="7" t="str">
        <x:v>Yellow cells are inputs. Use anonymous reference IDs and operational status only. Copy into an approved system before using real work.</x:v>
      </x:c>
      <x:c r="K3" s="7" t="str">
        <x:v>Yellow cells are inputs. Use anonymous reference IDs and operational status only. Copy into an approved system before using real work.</x:v>
      </x:c>
      <x:c r="L3" s="7" t="str">
        <x:v>Yellow cells are inputs. Use anonymous reference IDs and operational status only. Copy into an approved system before using real work.</x:v>
      </x:c>
      <x:c r="M3" s="7" t="str">
        <x:v>Yellow cells are inputs. Use anonymous reference IDs and operational status only. Copy into an approved system before using real work.</x:v>
      </x:c>
    </x:row>
    <x:row r="5" ht="30" customHeight="1">
      <x:c r="A5" s="15" t="str">
        <x:v>Reference ID</x:v>
      </x:c>
      <x:c r="B5" s="16" t="str">
        <x:v>Stage</x:v>
      </x:c>
      <x:c r="C5" s="16" t="str">
        <x:v>Status</x:v>
      </x:c>
      <x:c r="D5" s="16" t="str">
        <x:v>Owner role</x:v>
      </x:c>
      <x:c r="E5" s="16" t="str">
        <x:v>Next action</x:v>
      </x:c>
      <x:c r="F5" s="16" t="str">
        <x:v>Due date</x:v>
      </x:c>
      <x:c r="G5" s="16" t="str">
        <x:v>Waiting on</x:v>
      </x:c>
      <x:c r="H5" s="16" t="str">
        <x:v>Readiness decision</x:v>
      </x:c>
      <x:c r="I5" s="16" t="str">
        <x:v>Decision owner</x:v>
      </x:c>
      <x:c r="J5" s="16" t="str">
        <x:v>Exception?</x:v>
      </x:c>
      <x:c r="K5" s="16" t="str">
        <x:v>Last update</x:v>
      </x:c>
      <x:c r="L5" s="16" t="str">
        <x:v>Notes - no sensitive detail</x:v>
      </x:c>
      <x:c r="M5" s="17" t="str">
        <x:v>Attention</x:v>
      </x:c>
    </x:row>
    <x:row r="6">
      <x:c r="A6" s="84" t="str"/>
      <x:c r="B6" s="84" t="str"/>
      <x:c r="C6" s="84" t="str"/>
      <x:c r="D6" s="84" t="str"/>
      <x:c r="E6" s="84" t="str"/>
      <x:c r="F6" s="95" t="str"/>
      <x:c r="G6" s="84" t="str"/>
      <x:c r="H6" s="84" t="str"/>
      <x:c r="I6" s="84" t="str"/>
      <x:c r="J6" s="84" t="str"/>
      <x:c r="K6" s="95" t="str"/>
      <x:c r="L6" s="84" t="str"/>
      <x:c r="M6" s="92" t="str">
        <x:f>IF(A6="","",IF(OR(J6="Yes",AND(F6&lt;&gt;"",F6&lt;TODAY(),C6&lt;&gt;"Closed")),"Attention","On track"))</x:f>
      </x:c>
    </x:row>
    <x:row r="7">
      <x:c r="A7" s="85" t="str"/>
      <x:c r="B7" s="85" t="str"/>
      <x:c r="C7" s="85" t="str"/>
      <x:c r="D7" s="85" t="str"/>
      <x:c r="E7" s="85" t="str"/>
      <x:c r="F7" s="96" t="str"/>
      <x:c r="G7" s="85" t="str"/>
      <x:c r="H7" s="85" t="str"/>
      <x:c r="I7" s="85" t="str"/>
      <x:c r="J7" s="85" t="str"/>
      <x:c r="K7" s="96" t="str"/>
      <x:c r="L7" s="85" t="str"/>
      <x:c r="M7" s="93" t="str">
        <x:f>IF(A7="","",IF(OR(J7="Yes",AND(F7&lt;&gt;"",F7&lt;TODAY(),C7&lt;&gt;"Closed")),"Attention","On track"))</x:f>
      </x:c>
    </x:row>
    <x:row r="8">
      <x:c r="A8" s="85" t="str"/>
      <x:c r="B8" s="85" t="str"/>
      <x:c r="C8" s="85" t="str"/>
      <x:c r="D8" s="85" t="str"/>
      <x:c r="E8" s="85" t="str"/>
      <x:c r="F8" s="96" t="str"/>
      <x:c r="G8" s="85" t="str"/>
      <x:c r="H8" s="85" t="str"/>
      <x:c r="I8" s="85" t="str"/>
      <x:c r="J8" s="85" t="str"/>
      <x:c r="K8" s="96" t="str"/>
      <x:c r="L8" s="85" t="str"/>
      <x:c r="M8" s="93" t="str">
        <x:f>IF(A8="","",IF(OR(J8="Yes",AND(F8&lt;&gt;"",F8&lt;TODAY(),C8&lt;&gt;"Closed")),"Attention","On track"))</x:f>
      </x:c>
    </x:row>
    <x:row r="9">
      <x:c r="A9" s="85" t="str"/>
      <x:c r="B9" s="85" t="str"/>
      <x:c r="C9" s="85" t="str"/>
      <x:c r="D9" s="85" t="str"/>
      <x:c r="E9" s="85" t="str"/>
      <x:c r="F9" s="96" t="str"/>
      <x:c r="G9" s="85" t="str"/>
      <x:c r="H9" s="85" t="str"/>
      <x:c r="I9" s="85" t="str"/>
      <x:c r="J9" s="85" t="str"/>
      <x:c r="K9" s="96" t="str"/>
      <x:c r="L9" s="85" t="str"/>
      <x:c r="M9" s="93" t="str">
        <x:f>IF(A9="","",IF(OR(J9="Yes",AND(F9&lt;&gt;"",F9&lt;TODAY(),C9&lt;&gt;"Closed")),"Attention","On track"))</x:f>
      </x:c>
    </x:row>
    <x:row r="10">
      <x:c r="A10" s="85" t="str"/>
      <x:c r="B10" s="85" t="str"/>
      <x:c r="C10" s="85" t="str"/>
      <x:c r="D10" s="85" t="str"/>
      <x:c r="E10" s="85" t="str"/>
      <x:c r="F10" s="96" t="str"/>
      <x:c r="G10" s="85" t="str"/>
      <x:c r="H10" s="85" t="str"/>
      <x:c r="I10" s="85" t="str"/>
      <x:c r="J10" s="85" t="str"/>
      <x:c r="K10" s="96" t="str"/>
      <x:c r="L10" s="85" t="str"/>
      <x:c r="M10" s="93" t="str">
        <x:f>IF(A10="","",IF(OR(J10="Yes",AND(F10&lt;&gt;"",F10&lt;TODAY(),C10&lt;&gt;"Closed")),"Attention","On track"))</x:f>
      </x:c>
    </x:row>
    <x:row r="11">
      <x:c r="A11" s="85" t="str"/>
      <x:c r="B11" s="85" t="str"/>
      <x:c r="C11" s="85" t="str"/>
      <x:c r="D11" s="85" t="str"/>
      <x:c r="E11" s="85" t="str"/>
      <x:c r="F11" s="96" t="str"/>
      <x:c r="G11" s="85" t="str"/>
      <x:c r="H11" s="85" t="str"/>
      <x:c r="I11" s="85" t="str"/>
      <x:c r="J11" s="85" t="str"/>
      <x:c r="K11" s="96" t="str"/>
      <x:c r="L11" s="85" t="str"/>
      <x:c r="M11" s="93" t="str">
        <x:f>IF(A11="","",IF(OR(J11="Yes",AND(F11&lt;&gt;"",F11&lt;TODAY(),C11&lt;&gt;"Closed")),"Attention","On track"))</x:f>
      </x:c>
    </x:row>
    <x:row r="12">
      <x:c r="A12" s="85" t="str"/>
      <x:c r="B12" s="85" t="str"/>
      <x:c r="C12" s="85" t="str"/>
      <x:c r="D12" s="85" t="str"/>
      <x:c r="E12" s="85" t="str"/>
      <x:c r="F12" s="96" t="str"/>
      <x:c r="G12" s="85" t="str"/>
      <x:c r="H12" s="85" t="str"/>
      <x:c r="I12" s="85" t="str"/>
      <x:c r="J12" s="85" t="str"/>
      <x:c r="K12" s="96" t="str"/>
      <x:c r="L12" s="85" t="str"/>
      <x:c r="M12" s="93" t="str">
        <x:f>IF(A12="","",IF(OR(J12="Yes",AND(F12&lt;&gt;"",F12&lt;TODAY(),C12&lt;&gt;"Closed")),"Attention","On track"))</x:f>
      </x:c>
    </x:row>
    <x:row r="13">
      <x:c r="A13" s="85" t="str"/>
      <x:c r="B13" s="85" t="str"/>
      <x:c r="C13" s="85" t="str"/>
      <x:c r="D13" s="85" t="str"/>
      <x:c r="E13" s="85" t="str"/>
      <x:c r="F13" s="96" t="str"/>
      <x:c r="G13" s="85" t="str"/>
      <x:c r="H13" s="85" t="str"/>
      <x:c r="I13" s="85" t="str"/>
      <x:c r="J13" s="85" t="str"/>
      <x:c r="K13" s="96" t="str"/>
      <x:c r="L13" s="85" t="str"/>
      <x:c r="M13" s="93" t="str">
        <x:f>IF(A13="","",IF(OR(J13="Yes",AND(F13&lt;&gt;"",F13&lt;TODAY(),C13&lt;&gt;"Closed")),"Attention","On track"))</x:f>
      </x:c>
    </x:row>
    <x:row r="14">
      <x:c r="A14" s="85" t="str"/>
      <x:c r="B14" s="85" t="str"/>
      <x:c r="C14" s="85" t="str"/>
      <x:c r="D14" s="85" t="str"/>
      <x:c r="E14" s="85" t="str"/>
      <x:c r="F14" s="96" t="str"/>
      <x:c r="G14" s="85" t="str"/>
      <x:c r="H14" s="85" t="str"/>
      <x:c r="I14" s="85" t="str"/>
      <x:c r="J14" s="85" t="str"/>
      <x:c r="K14" s="96" t="str"/>
      <x:c r="L14" s="85" t="str"/>
      <x:c r="M14" s="93" t="str">
        <x:f>IF(A14="","",IF(OR(J14="Yes",AND(F14&lt;&gt;"",F14&lt;TODAY(),C14&lt;&gt;"Closed")),"Attention","On track"))</x:f>
      </x:c>
    </x:row>
    <x:row r="15">
      <x:c r="A15" s="85" t="str"/>
      <x:c r="B15" s="85" t="str"/>
      <x:c r="C15" s="85" t="str"/>
      <x:c r="D15" s="85" t="str"/>
      <x:c r="E15" s="85" t="str"/>
      <x:c r="F15" s="96" t="str"/>
      <x:c r="G15" s="85" t="str"/>
      <x:c r="H15" s="85" t="str"/>
      <x:c r="I15" s="85" t="str"/>
      <x:c r="J15" s="85" t="str"/>
      <x:c r="K15" s="96" t="str"/>
      <x:c r="L15" s="85" t="str"/>
      <x:c r="M15" s="93" t="str">
        <x:f>IF(A15="","",IF(OR(J15="Yes",AND(F15&lt;&gt;"",F15&lt;TODAY(),C15&lt;&gt;"Closed")),"Attention","On track"))</x:f>
      </x:c>
    </x:row>
    <x:row r="16">
      <x:c r="A16" s="85" t="str"/>
      <x:c r="B16" s="85" t="str"/>
      <x:c r="C16" s="85" t="str"/>
      <x:c r="D16" s="85" t="str"/>
      <x:c r="E16" s="85" t="str"/>
      <x:c r="F16" s="96" t="str"/>
      <x:c r="G16" s="85" t="str"/>
      <x:c r="H16" s="85" t="str"/>
      <x:c r="I16" s="85" t="str"/>
      <x:c r="J16" s="85" t="str"/>
      <x:c r="K16" s="96" t="str"/>
      <x:c r="L16" s="85" t="str"/>
      <x:c r="M16" s="93" t="str">
        <x:f>IF(A16="","",IF(OR(J16="Yes",AND(F16&lt;&gt;"",F16&lt;TODAY(),C16&lt;&gt;"Closed")),"Attention","On track"))</x:f>
      </x:c>
    </x:row>
    <x:row r="17">
      <x:c r="A17" s="85" t="str"/>
      <x:c r="B17" s="85" t="str"/>
      <x:c r="C17" s="85" t="str"/>
      <x:c r="D17" s="85" t="str"/>
      <x:c r="E17" s="85" t="str"/>
      <x:c r="F17" s="96" t="str"/>
      <x:c r="G17" s="85" t="str"/>
      <x:c r="H17" s="85" t="str"/>
      <x:c r="I17" s="85" t="str"/>
      <x:c r="J17" s="85" t="str"/>
      <x:c r="K17" s="96" t="str"/>
      <x:c r="L17" s="85" t="str"/>
      <x:c r="M17" s="93" t="str">
        <x:f>IF(A17="","",IF(OR(J17="Yes",AND(F17&lt;&gt;"",F17&lt;TODAY(),C17&lt;&gt;"Closed")),"Attention","On track"))</x:f>
      </x:c>
    </x:row>
    <x:row r="18">
      <x:c r="A18" s="85" t="str"/>
      <x:c r="B18" s="85" t="str"/>
      <x:c r="C18" s="85" t="str"/>
      <x:c r="D18" s="85" t="str"/>
      <x:c r="E18" s="85" t="str"/>
      <x:c r="F18" s="96" t="str"/>
      <x:c r="G18" s="85" t="str"/>
      <x:c r="H18" s="85" t="str"/>
      <x:c r="I18" s="85" t="str"/>
      <x:c r="J18" s="85" t="str"/>
      <x:c r="K18" s="96" t="str"/>
      <x:c r="L18" s="85" t="str"/>
      <x:c r="M18" s="93" t="str">
        <x:f>IF(A18="","",IF(OR(J18="Yes",AND(F18&lt;&gt;"",F18&lt;TODAY(),C18&lt;&gt;"Closed")),"Attention","On track"))</x:f>
      </x:c>
    </x:row>
    <x:row r="19">
      <x:c r="A19" s="85" t="str"/>
      <x:c r="B19" s="85" t="str"/>
      <x:c r="C19" s="85" t="str"/>
      <x:c r="D19" s="85" t="str"/>
      <x:c r="E19" s="85" t="str"/>
      <x:c r="F19" s="96" t="str"/>
      <x:c r="G19" s="85" t="str"/>
      <x:c r="H19" s="85" t="str"/>
      <x:c r="I19" s="85" t="str"/>
      <x:c r="J19" s="85" t="str"/>
      <x:c r="K19" s="96" t="str"/>
      <x:c r="L19" s="85" t="str"/>
      <x:c r="M19" s="93" t="str">
        <x:f>IF(A19="","",IF(OR(J19="Yes",AND(F19&lt;&gt;"",F19&lt;TODAY(),C19&lt;&gt;"Closed")),"Attention","On track"))</x:f>
      </x:c>
    </x:row>
    <x:row r="20">
      <x:c r="A20" s="85" t="str"/>
      <x:c r="B20" s="85" t="str"/>
      <x:c r="C20" s="85" t="str"/>
      <x:c r="D20" s="85" t="str"/>
      <x:c r="E20" s="85" t="str"/>
      <x:c r="F20" s="96" t="str"/>
      <x:c r="G20" s="85" t="str"/>
      <x:c r="H20" s="85" t="str"/>
      <x:c r="I20" s="85" t="str"/>
      <x:c r="J20" s="85" t="str"/>
      <x:c r="K20" s="96" t="str"/>
      <x:c r="L20" s="85" t="str"/>
      <x:c r="M20" s="93" t="str">
        <x:f>IF(A20="","",IF(OR(J20="Yes",AND(F20&lt;&gt;"",F20&lt;TODAY(),C20&lt;&gt;"Closed")),"Attention","On track"))</x:f>
      </x:c>
    </x:row>
    <x:row r="21">
      <x:c r="A21" s="85" t="str"/>
      <x:c r="B21" s="85" t="str"/>
      <x:c r="C21" s="85" t="str"/>
      <x:c r="D21" s="85" t="str"/>
      <x:c r="E21" s="85" t="str"/>
      <x:c r="F21" s="96" t="str"/>
      <x:c r="G21" s="85" t="str"/>
      <x:c r="H21" s="85" t="str"/>
      <x:c r="I21" s="85" t="str"/>
      <x:c r="J21" s="85" t="str"/>
      <x:c r="K21" s="96" t="str"/>
      <x:c r="L21" s="85" t="str"/>
      <x:c r="M21" s="93" t="str">
        <x:f>IF(A21="","",IF(OR(J21="Yes",AND(F21&lt;&gt;"",F21&lt;TODAY(),C21&lt;&gt;"Closed")),"Attention","On track"))</x:f>
      </x:c>
    </x:row>
    <x:row r="22">
      <x:c r="A22" s="85" t="str"/>
      <x:c r="B22" s="85" t="str"/>
      <x:c r="C22" s="85" t="str"/>
      <x:c r="D22" s="85" t="str"/>
      <x:c r="E22" s="85" t="str"/>
      <x:c r="F22" s="96" t="str"/>
      <x:c r="G22" s="85" t="str"/>
      <x:c r="H22" s="85" t="str"/>
      <x:c r="I22" s="85" t="str"/>
      <x:c r="J22" s="85" t="str"/>
      <x:c r="K22" s="96" t="str"/>
      <x:c r="L22" s="85" t="str"/>
      <x:c r="M22" s="93" t="str">
        <x:f>IF(A22="","",IF(OR(J22="Yes",AND(F22&lt;&gt;"",F22&lt;TODAY(),C22&lt;&gt;"Closed")),"Attention","On track"))</x:f>
      </x:c>
    </x:row>
    <x:row r="23">
      <x:c r="A23" s="85" t="str"/>
      <x:c r="B23" s="85" t="str"/>
      <x:c r="C23" s="85" t="str"/>
      <x:c r="D23" s="85" t="str"/>
      <x:c r="E23" s="85" t="str"/>
      <x:c r="F23" s="96" t="str"/>
      <x:c r="G23" s="85" t="str"/>
      <x:c r="H23" s="85" t="str"/>
      <x:c r="I23" s="85" t="str"/>
      <x:c r="J23" s="85" t="str"/>
      <x:c r="K23" s="96" t="str"/>
      <x:c r="L23" s="85" t="str"/>
      <x:c r="M23" s="93" t="str">
        <x:f>IF(A23="","",IF(OR(J23="Yes",AND(F23&lt;&gt;"",F23&lt;TODAY(),C23&lt;&gt;"Closed")),"Attention","On track"))</x:f>
      </x:c>
    </x:row>
    <x:row r="24">
      <x:c r="A24" s="85" t="str"/>
      <x:c r="B24" s="85" t="str"/>
      <x:c r="C24" s="85" t="str"/>
      <x:c r="D24" s="85" t="str"/>
      <x:c r="E24" s="85" t="str"/>
      <x:c r="F24" s="96" t="str"/>
      <x:c r="G24" s="85" t="str"/>
      <x:c r="H24" s="85" t="str"/>
      <x:c r="I24" s="85" t="str"/>
      <x:c r="J24" s="85" t="str"/>
      <x:c r="K24" s="96" t="str"/>
      <x:c r="L24" s="85" t="str"/>
      <x:c r="M24" s="93" t="str">
        <x:f>IF(A24="","",IF(OR(J24="Yes",AND(F24&lt;&gt;"",F24&lt;TODAY(),C24&lt;&gt;"Closed")),"Attention","On track"))</x:f>
      </x:c>
    </x:row>
    <x:row r="25">
      <x:c r="A25" s="85" t="str"/>
      <x:c r="B25" s="85" t="str"/>
      <x:c r="C25" s="85" t="str"/>
      <x:c r="D25" s="85" t="str"/>
      <x:c r="E25" s="85" t="str"/>
      <x:c r="F25" s="96" t="str"/>
      <x:c r="G25" s="85" t="str"/>
      <x:c r="H25" s="85" t="str"/>
      <x:c r="I25" s="85" t="str"/>
      <x:c r="J25" s="85" t="str"/>
      <x:c r="K25" s="96" t="str"/>
      <x:c r="L25" s="85" t="str"/>
      <x:c r="M25" s="93" t="str">
        <x:f>IF(A25="","",IF(OR(J25="Yes",AND(F25&lt;&gt;"",F25&lt;TODAY(),C25&lt;&gt;"Closed")),"Attention","On track"))</x:f>
      </x:c>
    </x:row>
    <x:row r="26">
      <x:c r="A26" s="85" t="str"/>
      <x:c r="B26" s="85" t="str"/>
      <x:c r="C26" s="85" t="str"/>
      <x:c r="D26" s="85" t="str"/>
      <x:c r="E26" s="85" t="str"/>
      <x:c r="F26" s="96" t="str"/>
      <x:c r="G26" s="85" t="str"/>
      <x:c r="H26" s="85" t="str"/>
      <x:c r="I26" s="85" t="str"/>
      <x:c r="J26" s="85" t="str"/>
      <x:c r="K26" s="96" t="str"/>
      <x:c r="L26" s="85" t="str"/>
      <x:c r="M26" s="93" t="str">
        <x:f>IF(A26="","",IF(OR(J26="Yes",AND(F26&lt;&gt;"",F26&lt;TODAY(),C26&lt;&gt;"Closed")),"Attention","On track"))</x:f>
      </x:c>
    </x:row>
    <x:row r="27">
      <x:c r="A27" s="85" t="str"/>
      <x:c r="B27" s="85" t="str"/>
      <x:c r="C27" s="85" t="str"/>
      <x:c r="D27" s="85" t="str"/>
      <x:c r="E27" s="85" t="str"/>
      <x:c r="F27" s="96" t="str"/>
      <x:c r="G27" s="85" t="str"/>
      <x:c r="H27" s="85" t="str"/>
      <x:c r="I27" s="85" t="str"/>
      <x:c r="J27" s="85" t="str"/>
      <x:c r="K27" s="96" t="str"/>
      <x:c r="L27" s="85" t="str"/>
      <x:c r="M27" s="93" t="str">
        <x:f>IF(A27="","",IF(OR(J27="Yes",AND(F27&lt;&gt;"",F27&lt;TODAY(),C27&lt;&gt;"Closed")),"Attention","On track"))</x:f>
      </x:c>
    </x:row>
    <x:row r="28">
      <x:c r="A28" s="85" t="str"/>
      <x:c r="B28" s="85" t="str"/>
      <x:c r="C28" s="85" t="str"/>
      <x:c r="D28" s="85" t="str"/>
      <x:c r="E28" s="85" t="str"/>
      <x:c r="F28" s="96" t="str"/>
      <x:c r="G28" s="85" t="str"/>
      <x:c r="H28" s="85" t="str"/>
      <x:c r="I28" s="85" t="str"/>
      <x:c r="J28" s="85" t="str"/>
      <x:c r="K28" s="96" t="str"/>
      <x:c r="L28" s="85" t="str"/>
      <x:c r="M28" s="93" t="str">
        <x:f>IF(A28="","",IF(OR(J28="Yes",AND(F28&lt;&gt;"",F28&lt;TODAY(),C28&lt;&gt;"Closed")),"Attention","On track"))</x:f>
      </x:c>
    </x:row>
    <x:row r="29">
      <x:c r="A29" s="85" t="str"/>
      <x:c r="B29" s="85" t="str"/>
      <x:c r="C29" s="85" t="str"/>
      <x:c r="D29" s="85" t="str"/>
      <x:c r="E29" s="85" t="str"/>
      <x:c r="F29" s="96" t="str"/>
      <x:c r="G29" s="85" t="str"/>
      <x:c r="H29" s="85" t="str"/>
      <x:c r="I29" s="85" t="str"/>
      <x:c r="J29" s="85" t="str"/>
      <x:c r="K29" s="96" t="str"/>
      <x:c r="L29" s="85" t="str"/>
      <x:c r="M29" s="93" t="str">
        <x:f>IF(A29="","",IF(OR(J29="Yes",AND(F29&lt;&gt;"",F29&lt;TODAY(),C29&lt;&gt;"Closed")),"Attention","On track"))</x:f>
      </x:c>
    </x:row>
    <x:row r="30">
      <x:c r="A30" s="85" t="str"/>
      <x:c r="B30" s="85" t="str"/>
      <x:c r="C30" s="85" t="str"/>
      <x:c r="D30" s="85" t="str"/>
      <x:c r="E30" s="85" t="str"/>
      <x:c r="F30" s="96" t="str"/>
      <x:c r="G30" s="85" t="str"/>
      <x:c r="H30" s="85" t="str"/>
      <x:c r="I30" s="85" t="str"/>
      <x:c r="J30" s="85" t="str"/>
      <x:c r="K30" s="96" t="str"/>
      <x:c r="L30" s="85" t="str"/>
      <x:c r="M30" s="93" t="str">
        <x:f>IF(A30="","",IF(OR(J30="Yes",AND(F30&lt;&gt;"",F30&lt;TODAY(),C30&lt;&gt;"Closed")),"Attention","On track"))</x:f>
      </x:c>
    </x:row>
    <x:row r="31">
      <x:c r="A31" s="85" t="str"/>
      <x:c r="B31" s="85" t="str"/>
      <x:c r="C31" s="85" t="str"/>
      <x:c r="D31" s="85" t="str"/>
      <x:c r="E31" s="85" t="str"/>
      <x:c r="F31" s="96" t="str"/>
      <x:c r="G31" s="85" t="str"/>
      <x:c r="H31" s="85" t="str"/>
      <x:c r="I31" s="85" t="str"/>
      <x:c r="J31" s="85" t="str"/>
      <x:c r="K31" s="96" t="str"/>
      <x:c r="L31" s="85" t="str"/>
      <x:c r="M31" s="93" t="str">
        <x:f>IF(A31="","",IF(OR(J31="Yes",AND(F31&lt;&gt;"",F31&lt;TODAY(),C31&lt;&gt;"Closed")),"Attention","On track"))</x:f>
      </x:c>
    </x:row>
    <x:row r="32">
      <x:c r="A32" s="85" t="str"/>
      <x:c r="B32" s="85" t="str"/>
      <x:c r="C32" s="85" t="str"/>
      <x:c r="D32" s="85" t="str"/>
      <x:c r="E32" s="85" t="str"/>
      <x:c r="F32" s="96" t="str"/>
      <x:c r="G32" s="85" t="str"/>
      <x:c r="H32" s="85" t="str"/>
      <x:c r="I32" s="85" t="str"/>
      <x:c r="J32" s="85" t="str"/>
      <x:c r="K32" s="96" t="str"/>
      <x:c r="L32" s="85" t="str"/>
      <x:c r="M32" s="93" t="str">
        <x:f>IF(A32="","",IF(OR(J32="Yes",AND(F32&lt;&gt;"",F32&lt;TODAY(),C32&lt;&gt;"Closed")),"Attention","On track"))</x:f>
      </x:c>
    </x:row>
    <x:row r="33">
      <x:c r="A33" s="85" t="str"/>
      <x:c r="B33" s="85" t="str"/>
      <x:c r="C33" s="85" t="str"/>
      <x:c r="D33" s="85" t="str"/>
      <x:c r="E33" s="85" t="str"/>
      <x:c r="F33" s="96" t="str"/>
      <x:c r="G33" s="85" t="str"/>
      <x:c r="H33" s="85" t="str"/>
      <x:c r="I33" s="85" t="str"/>
      <x:c r="J33" s="85" t="str"/>
      <x:c r="K33" s="96" t="str"/>
      <x:c r="L33" s="85" t="str"/>
      <x:c r="M33" s="93" t="str">
        <x:f>IF(A33="","",IF(OR(J33="Yes",AND(F33&lt;&gt;"",F33&lt;TODAY(),C33&lt;&gt;"Closed")),"Attention","On track"))</x:f>
      </x:c>
    </x:row>
    <x:row r="34">
      <x:c r="A34" s="85" t="str"/>
      <x:c r="B34" s="85" t="str"/>
      <x:c r="C34" s="85" t="str"/>
      <x:c r="D34" s="85" t="str"/>
      <x:c r="E34" s="85" t="str"/>
      <x:c r="F34" s="96" t="str"/>
      <x:c r="G34" s="85" t="str"/>
      <x:c r="H34" s="85" t="str"/>
      <x:c r="I34" s="85" t="str"/>
      <x:c r="J34" s="85" t="str"/>
      <x:c r="K34" s="96" t="str"/>
      <x:c r="L34" s="85" t="str"/>
      <x:c r="M34" s="93" t="str">
        <x:f>IF(A34="","",IF(OR(J34="Yes",AND(F34&lt;&gt;"",F34&lt;TODAY(),C34&lt;&gt;"Closed")),"Attention","On track"))</x:f>
      </x:c>
    </x:row>
    <x:row r="35">
      <x:c r="A35" s="85" t="str"/>
      <x:c r="B35" s="85" t="str"/>
      <x:c r="C35" s="85" t="str"/>
      <x:c r="D35" s="85" t="str"/>
      <x:c r="E35" s="85" t="str"/>
      <x:c r="F35" s="96" t="str"/>
      <x:c r="G35" s="85" t="str"/>
      <x:c r="H35" s="85" t="str"/>
      <x:c r="I35" s="85" t="str"/>
      <x:c r="J35" s="85" t="str"/>
      <x:c r="K35" s="96" t="str"/>
      <x:c r="L35" s="85" t="str"/>
      <x:c r="M35" s="93" t="str">
        <x:f>IF(A35="","",IF(OR(J35="Yes",AND(F35&lt;&gt;"",F35&lt;TODAY(),C35&lt;&gt;"Closed")),"Attention","On track"))</x:f>
      </x:c>
    </x:row>
    <x:row r="36">
      <x:c r="A36" s="85" t="str"/>
      <x:c r="B36" s="85" t="str"/>
      <x:c r="C36" s="85" t="str"/>
      <x:c r="D36" s="85" t="str"/>
      <x:c r="E36" s="85" t="str"/>
      <x:c r="F36" s="96" t="str"/>
      <x:c r="G36" s="85" t="str"/>
      <x:c r="H36" s="85" t="str"/>
      <x:c r="I36" s="85" t="str"/>
      <x:c r="J36" s="85" t="str"/>
      <x:c r="K36" s="96" t="str"/>
      <x:c r="L36" s="85" t="str"/>
      <x:c r="M36" s="93" t="str">
        <x:f>IF(A36="","",IF(OR(J36="Yes",AND(F36&lt;&gt;"",F36&lt;TODAY(),C36&lt;&gt;"Closed")),"Attention","On track"))</x:f>
      </x:c>
    </x:row>
    <x:row r="37">
      <x:c r="A37" s="85" t="str"/>
      <x:c r="B37" s="85" t="str"/>
      <x:c r="C37" s="85" t="str"/>
      <x:c r="D37" s="85" t="str"/>
      <x:c r="E37" s="85" t="str"/>
      <x:c r="F37" s="96" t="str"/>
      <x:c r="G37" s="85" t="str"/>
      <x:c r="H37" s="85" t="str"/>
      <x:c r="I37" s="85" t="str"/>
      <x:c r="J37" s="85" t="str"/>
      <x:c r="K37" s="96" t="str"/>
      <x:c r="L37" s="85" t="str"/>
      <x:c r="M37" s="93" t="str">
        <x:f>IF(A37="","",IF(OR(J37="Yes",AND(F37&lt;&gt;"",F37&lt;TODAY(),C37&lt;&gt;"Closed")),"Attention","On track"))</x:f>
      </x:c>
    </x:row>
    <x:row r="38">
      <x:c r="A38" s="85" t="str"/>
      <x:c r="B38" s="85" t="str"/>
      <x:c r="C38" s="85" t="str"/>
      <x:c r="D38" s="85" t="str"/>
      <x:c r="E38" s="85" t="str"/>
      <x:c r="F38" s="96" t="str"/>
      <x:c r="G38" s="85" t="str"/>
      <x:c r="H38" s="85" t="str"/>
      <x:c r="I38" s="85" t="str"/>
      <x:c r="J38" s="85" t="str"/>
      <x:c r="K38" s="96" t="str"/>
      <x:c r="L38" s="85" t="str"/>
      <x:c r="M38" s="93" t="str">
        <x:f>IF(A38="","",IF(OR(J38="Yes",AND(F38&lt;&gt;"",F38&lt;TODAY(),C38&lt;&gt;"Closed")),"Attention","On track"))</x:f>
      </x:c>
    </x:row>
    <x:row r="39">
      <x:c r="A39" s="85" t="str"/>
      <x:c r="B39" s="85" t="str"/>
      <x:c r="C39" s="85" t="str"/>
      <x:c r="D39" s="85" t="str"/>
      <x:c r="E39" s="85" t="str"/>
      <x:c r="F39" s="96" t="str"/>
      <x:c r="G39" s="85" t="str"/>
      <x:c r="H39" s="85" t="str"/>
      <x:c r="I39" s="85" t="str"/>
      <x:c r="J39" s="85" t="str"/>
      <x:c r="K39" s="96" t="str"/>
      <x:c r="L39" s="85" t="str"/>
      <x:c r="M39" s="93" t="str">
        <x:f>IF(A39="","",IF(OR(J39="Yes",AND(F39&lt;&gt;"",F39&lt;TODAY(),C39&lt;&gt;"Closed")),"Attention","On track"))</x:f>
      </x:c>
    </x:row>
    <x:row r="40">
      <x:c r="A40" s="85" t="str"/>
      <x:c r="B40" s="85" t="str"/>
      <x:c r="C40" s="85" t="str"/>
      <x:c r="D40" s="85" t="str"/>
      <x:c r="E40" s="85" t="str"/>
      <x:c r="F40" s="96" t="str"/>
      <x:c r="G40" s="85" t="str"/>
      <x:c r="H40" s="85" t="str"/>
      <x:c r="I40" s="85" t="str"/>
      <x:c r="J40" s="85" t="str"/>
      <x:c r="K40" s="96" t="str"/>
      <x:c r="L40" s="85" t="str"/>
      <x:c r="M40" s="93" t="str">
        <x:f>IF(A40="","",IF(OR(J40="Yes",AND(F40&lt;&gt;"",F40&lt;TODAY(),C40&lt;&gt;"Closed")),"Attention","On track"))</x:f>
      </x:c>
    </x:row>
    <x:row r="41">
      <x:c r="A41" s="85" t="str"/>
      <x:c r="B41" s="85" t="str"/>
      <x:c r="C41" s="85" t="str"/>
      <x:c r="D41" s="85" t="str"/>
      <x:c r="E41" s="85" t="str"/>
      <x:c r="F41" s="96" t="str"/>
      <x:c r="G41" s="85" t="str"/>
      <x:c r="H41" s="85" t="str"/>
      <x:c r="I41" s="85" t="str"/>
      <x:c r="J41" s="85" t="str"/>
      <x:c r="K41" s="96" t="str"/>
      <x:c r="L41" s="85" t="str"/>
      <x:c r="M41" s="93" t="str">
        <x:f>IF(A41="","",IF(OR(J41="Yes",AND(F41&lt;&gt;"",F41&lt;TODAY(),C41&lt;&gt;"Closed")),"Attention","On track"))</x:f>
      </x:c>
    </x:row>
    <x:row r="42">
      <x:c r="A42" s="85" t="str"/>
      <x:c r="B42" s="85" t="str"/>
      <x:c r="C42" s="85" t="str"/>
      <x:c r="D42" s="85" t="str"/>
      <x:c r="E42" s="85" t="str"/>
      <x:c r="F42" s="96" t="str"/>
      <x:c r="G42" s="85" t="str"/>
      <x:c r="H42" s="85" t="str"/>
      <x:c r="I42" s="85" t="str"/>
      <x:c r="J42" s="85" t="str"/>
      <x:c r="K42" s="96" t="str"/>
      <x:c r="L42" s="85" t="str"/>
      <x:c r="M42" s="93" t="str">
        <x:f>IF(A42="","",IF(OR(J42="Yes",AND(F42&lt;&gt;"",F42&lt;TODAY(),C42&lt;&gt;"Closed")),"Attention","On track"))</x:f>
      </x:c>
    </x:row>
    <x:row r="43">
      <x:c r="A43" s="85" t="str"/>
      <x:c r="B43" s="85" t="str"/>
      <x:c r="C43" s="85" t="str"/>
      <x:c r="D43" s="85" t="str"/>
      <x:c r="E43" s="85" t="str"/>
      <x:c r="F43" s="96" t="str"/>
      <x:c r="G43" s="85" t="str"/>
      <x:c r="H43" s="85" t="str"/>
      <x:c r="I43" s="85" t="str"/>
      <x:c r="J43" s="85" t="str"/>
      <x:c r="K43" s="96" t="str"/>
      <x:c r="L43" s="85" t="str"/>
      <x:c r="M43" s="93" t="str">
        <x:f>IF(A43="","",IF(OR(J43="Yes",AND(F43&lt;&gt;"",F43&lt;TODAY(),C43&lt;&gt;"Closed")),"Attention","On track"))</x:f>
      </x:c>
    </x:row>
    <x:row r="44">
      <x:c r="A44" s="85" t="str"/>
      <x:c r="B44" s="85" t="str"/>
      <x:c r="C44" s="85" t="str"/>
      <x:c r="D44" s="85" t="str"/>
      <x:c r="E44" s="85" t="str"/>
      <x:c r="F44" s="96" t="str"/>
      <x:c r="G44" s="85" t="str"/>
      <x:c r="H44" s="85" t="str"/>
      <x:c r="I44" s="85" t="str"/>
      <x:c r="J44" s="85" t="str"/>
      <x:c r="K44" s="96" t="str"/>
      <x:c r="L44" s="85" t="str"/>
      <x:c r="M44" s="93" t="str">
        <x:f>IF(A44="","",IF(OR(J44="Yes",AND(F44&lt;&gt;"",F44&lt;TODAY(),C44&lt;&gt;"Closed")),"Attention","On track"))</x:f>
      </x:c>
    </x:row>
    <x:row r="45">
      <x:c r="A45" s="85" t="str"/>
      <x:c r="B45" s="85" t="str"/>
      <x:c r="C45" s="85" t="str"/>
      <x:c r="D45" s="85" t="str"/>
      <x:c r="E45" s="85" t="str"/>
      <x:c r="F45" s="96" t="str"/>
      <x:c r="G45" s="85" t="str"/>
      <x:c r="H45" s="85" t="str"/>
      <x:c r="I45" s="85" t="str"/>
      <x:c r="J45" s="85" t="str"/>
      <x:c r="K45" s="96" t="str"/>
      <x:c r="L45" s="85" t="str"/>
      <x:c r="M45" s="94" t="str">
        <x:f>IF(A45="","",IF(OR(J45="Yes",AND(F45&lt;&gt;"",F45&lt;TODAY(),C45&lt;&gt;"Closed")),"Attention","On track"))</x:f>
      </x:c>
    </x:row>
  </x:sheetData>
  <x:mergeCells>
    <x:mergeCell ref="A1:M1"/>
    <x:mergeCell ref="A2:M3"/>
  </x:mergeCells>
  <x:conditionalFormatting sqref="M6:M45">
    <x:cfRule type="containsText" dxfId="0" priority="1" operator="containsText" text="Attention"/>
  </x:conditionalFormatting>
  <x:dataValidations count="4">
    <x:dataValidation type="list" sqref="B6:B45">
      <x:formula1>"New enquiry,Initial review,Information requested,Options review,Decision pending,Ready to commence,Commenced,Closed / not proceeding"</x:formula1>
    </x:dataValidation>
    <x:dataValidation type="list" sqref="C6:C45">
      <x:formula1>"New,In progress,Waiting,Ready for decision,Closed"</x:formula1>
    </x:dataValidation>
    <x:dataValidation type="list" sqref="H6:H45">
      <x:formula1>"Not assessed,Ready,Not ready,Not proceeding"</x:formula1>
    </x:dataValidation>
    <x:dataValidation type="list" sqref="J6:J45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Review view</x:v>
      </x:c>
      <x:c r="B1" s="3" t="str">
        <x:v>Review view</x:v>
      </x:c>
      <x:c r="C1" s="3" t="str">
        <x:v>Review view</x:v>
      </x:c>
      <x:c r="D1" s="3" t="str">
        <x:v>Review view</x:v>
      </x:c>
      <x:c r="E1" s="3" t="str">
        <x:v>Review view</x:v>
      </x:c>
      <x:c r="F1" s="3" t="str">
        <x:v>Review view</x:v>
      </x:c>
      <x:c r="G1" s="3" t="str">
        <x:v>Review view</x:v>
      </x:c>
      <x:c r="H1" s="3" t="str">
        <x:v>Review view</x:v>
      </x:c>
    </x:row>
    <x:row r="2" ht="26" customHeight="1">
      <x:c r="A2" s="7" t="str">
        <x:v>Use this as a short operational review, not as a substitute for the approved source system or authorised readiness decision.</x:v>
      </x:c>
      <x:c r="B2" s="7" t="str">
        <x:v>Use this as a short operational review, not as a substitute for the approved source system or authorised readiness decision.</x:v>
      </x:c>
      <x:c r="C2" s="7" t="str">
        <x:v>Use this as a short operational review, not as a substitute for the approved source system or authorised readiness decision.</x:v>
      </x:c>
      <x:c r="D2" s="7" t="str">
        <x:v>Use this as a short operational review, not as a substitute for the approved source system or authorised readiness decision.</x:v>
      </x:c>
      <x:c r="E2" s="7" t="str">
        <x:v>Use this as a short operational review, not as a substitute for the approved source system or authorised readiness decision.</x:v>
      </x:c>
      <x:c r="F2" s="7" t="str">
        <x:v>Use this as a short operational review, not as a substitute for the approved source system or authorised readiness decision.</x:v>
      </x:c>
      <x:c r="G2" s="7" t="str">
        <x:v>Use this as a short operational review, not as a substitute for the approved source system or authorised readiness decision.</x:v>
      </x:c>
      <x:c r="H2" s="7" t="str">
        <x:v>Use this as a short operational review, not as a substitute for the approved source system or authorised readiness decision.</x:v>
      </x:c>
    </x:row>
    <x:row r="3" ht="26" customHeight="1">
      <x:c r="A3" s="7" t="str">
        <x:v>Use this as a short operational review, not as a substitute for the approved source system or authorised readiness decision.</x:v>
      </x:c>
      <x:c r="B3" s="7" t="str">
        <x:v>Use this as a short operational review, not as a substitute for the approved source system or authorised readiness decision.</x:v>
      </x:c>
      <x:c r="C3" s="7" t="str">
        <x:v>Use this as a short operational review, not as a substitute for the approved source system or authorised readiness decision.</x:v>
      </x:c>
      <x:c r="D3" s="7" t="str">
        <x:v>Use this as a short operational review, not as a substitute for the approved source system or authorised readiness decision.</x:v>
      </x:c>
      <x:c r="E3" s="7" t="str">
        <x:v>Use this as a short operational review, not as a substitute for the approved source system or authorised readiness decision.</x:v>
      </x:c>
      <x:c r="F3" s="7" t="str">
        <x:v>Use this as a short operational review, not as a substitute for the approved source system or authorised readiness decision.</x:v>
      </x:c>
      <x:c r="G3" s="7" t="str">
        <x:v>Use this as a short operational review, not as a substitute for the approved source system or authorised readiness decision.</x:v>
      </x:c>
      <x:c r="H3" s="7" t="str">
        <x:v>Use this as a short operational review, not as a substitute for the approved source system or authorised readiness decision.</x:v>
      </x:c>
    </x:row>
    <x:row r="5" ht="30" customHeight="1">
      <x:c r="A5" s="15" t="str">
        <x:v>Measure</x:v>
      </x:c>
      <x:c r="B5" s="17" t="str">
        <x:v>Current count</x:v>
      </x:c>
      <x:c r="D5" s="15" t="str">
        <x:v>Five review questions</x:v>
      </x:c>
      <x:c r="E5" s="16"/>
      <x:c r="F5" s="16"/>
      <x:c r="G5" s="16"/>
      <x:c r="H5" s="17"/>
    </x:row>
    <x:row r="6">
      <x:c r="A6" s="37" t="str">
        <x:v>Open records</x:v>
      </x:c>
      <x:c r="B6" s="106" t="n">
        <x:f>COUNTIF('Live Tracker'!A6:A45,"?*")-COUNTIF('Live Tracker'!C6:C45,"Closed")</x:f>
        <x:v>0</x:v>
      </x:c>
      <x:c r="D6" s="37" t="str">
        <x:v>1. What is waiting, blocked, overdue or exceptional?</x:v>
      </x:c>
      <x:c r="E6" s="38" t="str"/>
      <x:c r="F6" s="38" t="str"/>
      <x:c r="G6" s="38" t="str"/>
      <x:c r="H6" s="39" t="str"/>
    </x:row>
    <x:row r="7">
      <x:c r="A7" s="40" t="str">
        <x:v>Attention items</x:v>
      </x:c>
      <x:c r="B7" s="106" t="n">
        <x:f>COUNTIF('Live Tracker'!M6:M45,"Attention")</x:f>
        <x:v>0</x:v>
      </x:c>
      <x:c r="D7" s="40" t="str">
        <x:v>2. Does every open record have one owner and one next action?</x:v>
      </x:c>
      <x:c r="E7" s="41" t="str"/>
      <x:c r="F7" s="41" t="str"/>
      <x:c r="G7" s="41" t="str"/>
      <x:c r="H7" s="42" t="str"/>
    </x:row>
    <x:row r="8">
      <x:c r="A8" s="40" t="str">
        <x:v>Exceptions</x:v>
      </x:c>
      <x:c r="B8" s="106" t="n">
        <x:f>COUNTIF('Live Tracker'!J6:J45,"Yes")</x:f>
        <x:v>0</x:v>
      </x:c>
      <x:c r="D8" s="40" t="str">
        <x:v>3. Which decision is due, who is authorised to make it and what evidence is missing?</x:v>
      </x:c>
      <x:c r="E8" s="41" t="str"/>
      <x:c r="F8" s="41" t="str"/>
      <x:c r="G8" s="41" t="str"/>
      <x:c r="H8" s="42" t="str"/>
    </x:row>
    <x:row r="9">
      <x:c r="A9" s="43" t="str">
        <x:v>Ready decisions</x:v>
      </x:c>
      <x:c r="B9" s="107" t="n">
        <x:f>COUNTIF('Live Tracker'!H6:H45,"Ready")</x:f>
        <x:v>0</x:v>
      </x:c>
      <x:c r="D9" s="40" t="str">
        <x:v>4. Are status definitions being applied consistently?</x:v>
      </x:c>
      <x:c r="E9" s="41" t="str"/>
      <x:c r="F9" s="41" t="str"/>
      <x:c r="G9" s="41" t="str"/>
      <x:c r="H9" s="42" t="str"/>
    </x:row>
    <x:row r="10">
      <x:c r="D10" s="43" t="str">
        <x:v>5. What should be closed, corrected or escalated before the next review?</x:v>
      </x:c>
      <x:c r="E10" s="44" t="str"/>
      <x:c r="F10" s="44" t="str"/>
      <x:c r="G10" s="44" t="str"/>
      <x:c r="H10" s="45" t="str"/>
    </x:row>
    <x:row r="12">
      <x:c r="A12" s="72" t="str">
        <x:v>A readiness decision is an organisation-owned operational decision. This starter kit does not verify service, clinical, registration, audit, legal, privacy or regulatory readiness.</x:v>
      </x:c>
      <x:c r="B12" s="73"/>
      <x:c r="C12" s="73"/>
      <x:c r="D12" s="73"/>
      <x:c r="E12" s="73"/>
      <x:c r="F12" s="73"/>
      <x:c r="G12" s="73"/>
      <x:c r="H12" s="74"/>
    </x:row>
    <x:row r="13">
      <x:c r="A13" s="113"/>
      <x:c r="B13" s="114"/>
      <x:c r="C13" s="114"/>
      <x:c r="D13" s="114"/>
      <x:c r="E13" s="114"/>
      <x:c r="F13" s="114"/>
      <x:c r="G13" s="114"/>
      <x:c r="H13" s="115"/>
    </x:row>
    <x:row r="14">
      <x:c r="A14" s="113"/>
      <x:c r="B14" s="114"/>
      <x:c r="C14" s="114"/>
      <x:c r="D14" s="114"/>
      <x:c r="E14" s="114"/>
      <x:c r="F14" s="114"/>
      <x:c r="G14" s="114"/>
      <x:c r="H14" s="115"/>
    </x:row>
    <x:row r="15">
      <x:c r="A15" s="75"/>
      <x:c r="B15" s="76"/>
      <x:c r="C15" s="76"/>
      <x:c r="D15" s="76"/>
      <x:c r="E15" s="76"/>
      <x:c r="F15" s="76"/>
      <x:c r="G15" s="76"/>
      <x:c r="H15" s="77"/>
    </x:row>
  </x:sheetData>
  <x:mergeCells>
    <x:mergeCell ref="A1:H1"/>
    <x:mergeCell ref="A2:H3"/>
    <x:mergeCell ref="D5:H5"/>
    <x:mergeCell ref="D6:H6"/>
    <x:mergeCell ref="D7:H7"/>
    <x:mergeCell ref="D8:H8"/>
    <x:mergeCell ref="D9:H9"/>
    <x:mergeCell ref="D10:H10"/>
    <x:mergeCell ref="A12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3" t="str">
        <x:v>Status and field guide</x:v>
      </x:c>
      <x:c r="B1" s="3" t="str">
        <x:v>Status and field guide</x:v>
      </x:c>
      <x:c r="C1" s="3" t="str">
        <x:v>Status and field guide</x:v>
      </x:c>
      <x:c r="D1" s="3" t="str">
        <x:v>Status and field guide</x:v>
      </x:c>
    </x:row>
    <x:row r="2" ht="26" customHeight="1">
      <x:c r="A2" s="7" t="str">
        <x:v>Adapt these definitions with the workflow owner. A status should describe where work is, while next action shows what must happen next.</x:v>
      </x:c>
      <x:c r="B2" s="7" t="str">
        <x:v>Adapt these definitions with the workflow owner. A status should describe where work is, while next action shows what must happen next.</x:v>
      </x:c>
      <x:c r="C2" s="7" t="str">
        <x:v>Adapt these definitions with the workflow owner. A status should describe where work is, while next action shows what must happen next.</x:v>
      </x:c>
      <x:c r="D2" s="7" t="str">
        <x:v>Adapt these definitions with the workflow owner. A status should describe where work is, while next action shows what must happen next.</x:v>
      </x:c>
    </x:row>
    <x:row r="3" ht="26" customHeight="1">
      <x:c r="A3" s="7" t="str">
        <x:v>Adapt these definitions with the workflow owner. A status should describe where work is, while next action shows what must happen next.</x:v>
      </x:c>
      <x:c r="B3" s="7" t="str">
        <x:v>Adapt these definitions with the workflow owner. A status should describe where work is, while next action shows what must happen next.</x:v>
      </x:c>
      <x:c r="C3" s="7" t="str">
        <x:v>Adapt these definitions with the workflow owner. A status should describe where work is, while next action shows what must happen next.</x:v>
      </x:c>
      <x:c r="D3" s="7" t="str">
        <x:v>Adapt these definitions with the workflow owner. A status should describe where work is, while next action shows what must happen next.</x:v>
      </x:c>
    </x:row>
    <x:row r="5" ht="30" customHeight="1">
      <x:c r="A5" s="15" t="str">
        <x:v>Stage</x:v>
      </x:c>
      <x:c r="B5" s="16" t="str">
        <x:v>Meaning</x:v>
      </x:c>
      <x:c r="C5" s="16" t="str">
        <x:v>Minimum exit condition</x:v>
      </x:c>
      <x:c r="D5" s="17" t="str">
        <x:v>Do not use it to mean</x:v>
      </x:c>
    </x:row>
    <x:row r="6" ht="38" customHeight="1">
      <x:c r="A6" s="37" t="str">
        <x:v>New enquiry</x:v>
      </x:c>
      <x:c r="B6" s="38" t="str">
        <x:v>A new high-level request has entered the defined workflow.</x:v>
      </x:c>
      <x:c r="C6" s="38" t="str">
        <x:v>Initial owner assigned and first review due.</x:v>
      </x:c>
      <x:c r="D6" s="39" t="str">
        <x:v>Accepted, eligible or ready.</x:v>
      </x:c>
    </x:row>
    <x:row r="7" ht="38" customHeight="1">
      <x:c r="A7" s="40" t="str">
        <x:v>Initial review</x:v>
      </x:c>
      <x:c r="B7" s="41" t="str">
        <x:v>The request is being checked against the organisation's approved process.</x:v>
      </x:c>
      <x:c r="C7" s="41" t="str">
        <x:v>Safe next action and required high-level information are clear.</x:v>
      </x:c>
      <x:c r="D7" s="42" t="str">
        <x:v>Clinical, legal or regulatory assessment.</x:v>
      </x:c>
    </x:row>
    <x:row r="8" ht="38" customHeight="1">
      <x:c r="A8" s="40" t="str">
        <x:v>Information requested</x:v>
      </x:c>
      <x:c r="B8" s="41" t="str">
        <x:v>The organisation is waiting for agreed information.</x:v>
      </x:c>
      <x:c r="C8" s="41" t="str">
        <x:v>Receipt recorded or a closure/escalation decision made.</x:v>
      </x:c>
      <x:c r="D8" s="42" t="str">
        <x:v>A request to store sensitive detail in this tracker.</x:v>
      </x:c>
    </x:row>
    <x:row r="9" ht="38" customHeight="1">
      <x:c r="A9" s="40" t="str">
        <x:v>Options review</x:v>
      </x:c>
      <x:c r="B9" s="41" t="str">
        <x:v>Operational options or fit are being considered.</x:v>
      </x:c>
      <x:c r="C9" s="41" t="str">
        <x:v>Named decision and decision owner recorded.</x:v>
      </x:c>
      <x:c r="D9" s="42" t="str">
        <x:v>Commitment to provide a service.</x:v>
      </x:c>
    </x:row>
    <x:row r="10" ht="38" customHeight="1">
      <x:c r="A10" s="40" t="str">
        <x:v>Decision pending</x:v>
      </x:c>
      <x:c r="B10" s="41" t="str">
        <x:v>An authorised person needs to decide the next route.</x:v>
      </x:c>
      <x:c r="C10" s="41" t="str">
        <x:v>Decision and rationale recorded in the approved place.</x:v>
      </x:c>
      <x:c r="D10" s="42" t="str">
        <x:v>Informal team agreement.</x:v>
      </x:c>
    </x:row>
    <x:row r="11" ht="38" customHeight="1">
      <x:c r="A11" s="40" t="str">
        <x:v>Ready to commence</x:v>
      </x:c>
      <x:c r="B11" s="41" t="str">
        <x:v>The organisation's own authorised readiness condition is met.</x:v>
      </x:c>
      <x:c r="C11" s="41" t="str">
        <x:v>Decision owner and commencement action recorded.</x:v>
      </x:c>
      <x:c r="D11" s="42" t="str">
        <x:v>Heutrix verification or compliance assurance.</x:v>
      </x:c>
    </x:row>
    <x:row r="12" ht="38" customHeight="1">
      <x:c r="A12" s="40" t="str">
        <x:v>Commenced</x:v>
      </x:c>
      <x:c r="B12" s="41" t="str">
        <x:v>The defined workflow has moved into the agreed next operating stage.</x:v>
      </x:c>
      <x:c r="C12" s="41" t="str">
        <x:v>Start recorded and remaining actions routed.</x:v>
      </x:c>
      <x:c r="D12" s="42" t="str">
        <x:v>Completion of every downstream obligation.</x:v>
      </x:c>
    </x:row>
    <x:row r="13" ht="38" customHeight="1">
      <x:c r="A13" s="43" t="str">
        <x:v>Closed / not proceeding</x:v>
      </x:c>
      <x:c r="B13" s="44" t="str">
        <x:v>The record has a deliberate closure outcome.</x:v>
      </x:c>
      <x:c r="C13" s="44" t="str">
        <x:v>Reason, owner and any onward action recorded.</x:v>
      </x:c>
      <x:c r="D13" s="45" t="str">
        <x:v>A record disappearing without a decision.</x:v>
      </x:c>
    </x:row>
    <x:row r="15" ht="30" customHeight="1">
      <x:c r="A15" s="15" t="str">
        <x:v>Field</x:v>
      </x:c>
      <x:c r="B15" s="16" t="str">
        <x:v>Why it exists</x:v>
      </x:c>
      <x:c r="C15" s="16" t="str">
        <x:v>Good entry</x:v>
      </x:c>
      <x:c r="D15" s="17" t="str">
        <x:v>Poor entry</x:v>
      </x:c>
    </x:row>
    <x:row r="16" ht="28" customHeight="1">
      <x:c r="A16" s="37" t="str">
        <x:v>Owner role</x:v>
      </x:c>
      <x:c r="B16" s="38" t="str">
        <x:v>Makes accountability visible.</x:v>
      </x:c>
      <x:c r="C16" s="38" t="str">
        <x:v>Intake coordinator</x:v>
      </x:c>
      <x:c r="D16" s="39" t="str">
        <x:v>Team</x:v>
      </x:c>
    </x:row>
    <x:row r="17" ht="28" customHeight="1">
      <x:c r="A17" s="40" t="str">
        <x:v>Next action</x:v>
      </x:c>
      <x:c r="B17" s="41" t="str">
        <x:v>Shows the next observable step.</x:v>
      </x:c>
      <x:c r="C17" s="41" t="str">
        <x:v>Confirm receipt of required documents</x:v>
      </x:c>
      <x:c r="D17" s="42" t="str">
        <x:v>Follow up</x:v>
      </x:c>
    </x:row>
    <x:row r="18" ht="28" customHeight="1">
      <x:c r="A18" s="40" t="str">
        <x:v>Due date</x:v>
      </x:c>
      <x:c r="B18" s="41" t="str">
        <x:v>Makes ageing and delay visible.</x:v>
      </x:c>
      <x:c r="C18" s="41" t="str">
        <x:v>2026-09-10</x:v>
      </x:c>
      <x:c r="D18" s="42" t="str">
        <x:v>ASAP</x:v>
      </x:c>
    </x:row>
    <x:row r="19" ht="28" customHeight="1">
      <x:c r="A19" s="40" t="str">
        <x:v>Waiting on</x:v>
      </x:c>
      <x:c r="B19" s="41" t="str">
        <x:v>Separates blocked work from active work.</x:v>
      </x:c>
      <x:c r="C19" s="41" t="str">
        <x:v>Authorised internal decision</x:v>
      </x:c>
      <x:c r="D19" s="42" t="str">
        <x:v>Client details</x:v>
      </x:c>
    </x:row>
    <x:row r="20" ht="28" customHeight="1">
      <x:c r="A20" s="40" t="str">
        <x:v>Readiness decision</x:v>
      </x:c>
      <x:c r="B20" s="41" t="str">
        <x:v>Records a deliberate route.</x:v>
      </x:c>
      <x:c r="C20" s="41" t="str">
        <x:v>Not assessed</x:v>
      </x:c>
      <x:c r="D20" s="42" t="str">
        <x:v>Almost ready</x:v>
      </x:c>
    </x:row>
    <x:row r="21" ht="28" customHeight="1">
      <x:c r="A21" s="43" t="str">
        <x:v>Exception</x:v>
      </x:c>
      <x:c r="B21" s="44" t="str">
        <x:v>Surfaces work outside the normal path.</x:v>
      </x:c>
      <x:c r="C21" s="44" t="str">
        <x:v>Yes - review at weekly meeting</x:v>
      </x:c>
      <x:c r="D21" s="45" t="str">
        <x:v>See email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7" hidden="0" customWidth="1"/>
    <x:col min="4" max="4" width="18" hidden="0" customWidth="1"/>
    <x:col min="5" max="5" width="30" hidden="0" customWidth="1"/>
    <x:col min="6" max="6" width="13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  <x:col min="11" max="11" width="13" hidden="0" customWidth="1"/>
    <x:col min="12" max="12" width="32" hidden="0" customWidth="1"/>
    <x:col min="13" max="13" width="14" hidden="0" customWidth="1"/>
  </x:cols>
  <x:sheetData>
    <x:row r="1" ht="34" customHeight="1">
      <x:c r="A1" s="3" t="str">
        <x:v>Synthetic example - not a client tracker</x:v>
      </x:c>
      <x:c r="B1" s="3" t="str">
        <x:v>Synthetic example - not a client tracker</x:v>
      </x:c>
      <x:c r="C1" s="3" t="str">
        <x:v>Synthetic example - not a client tracker</x:v>
      </x:c>
      <x:c r="D1" s="3" t="str">
        <x:v>Synthetic example - not a client tracker</x:v>
      </x:c>
      <x:c r="E1" s="3" t="str">
        <x:v>Synthetic example - not a client tracker</x:v>
      </x:c>
      <x:c r="F1" s="3" t="str">
        <x:v>Synthetic example - not a client tracker</x:v>
      </x:c>
      <x:c r="G1" s="3" t="str">
        <x:v>Synthetic example - not a client tracker</x:v>
      </x:c>
      <x:c r="H1" s="3" t="str">
        <x:v>Synthetic example - not a client tracker</x:v>
      </x:c>
      <x:c r="I1" s="3" t="str">
        <x:v>Synthetic example - not a client tracker</x:v>
      </x:c>
      <x:c r="J1" s="3" t="str">
        <x:v>Synthetic example - not a client tracker</x:v>
      </x:c>
      <x:c r="K1" s="3" t="str">
        <x:v>Synthetic example - not a client tracker</x:v>
      </x:c>
      <x:c r="L1" s="3" t="str">
        <x:v>Synthetic example - not a client tracker</x:v>
      </x:c>
      <x:c r="M1" s="3" t="str">
        <x:v>Synthetic example - not a client tracker</x:v>
      </x:c>
    </x:row>
    <x:row r="2" ht="26" customHeight="1">
      <x:c r="A2" s="7" t="str">
        <x:v>Fictional records only. This example demonstrates field use and does not show service readiness, compliance or a client outcome.</x:v>
      </x:c>
      <x:c r="B2" s="7" t="str">
        <x:v>Fictional records only. This example demonstrates field use and does not show service readiness, compliance or a client outcome.</x:v>
      </x:c>
      <x:c r="C2" s="7" t="str">
        <x:v>Fictional records only. This example demonstrates field use and does not show service readiness, compliance or a client outcome.</x:v>
      </x:c>
      <x:c r="D2" s="7" t="str">
        <x:v>Fictional records only. This example demonstrates field use and does not show service readiness, compliance or a client outcome.</x:v>
      </x:c>
      <x:c r="E2" s="7" t="str">
        <x:v>Fictional records only. This example demonstrates field use and does not show service readiness, compliance or a client outcome.</x:v>
      </x:c>
      <x:c r="F2" s="7" t="str">
        <x:v>Fictional records only. This example demonstrates field use and does not show service readiness, compliance or a client outcome.</x:v>
      </x:c>
      <x:c r="G2" s="7" t="str">
        <x:v>Fictional records only. This example demonstrates field use and does not show service readiness, compliance or a client outcome.</x:v>
      </x:c>
      <x:c r="H2" s="7" t="str">
        <x:v>Fictional records only. This example demonstrates field use and does not show service readiness, compliance or a client outcome.</x:v>
      </x:c>
      <x:c r="I2" s="7" t="str">
        <x:v>Fictional records only. This example demonstrates field use and does not show service readiness, compliance or a client outcome.</x:v>
      </x:c>
      <x:c r="J2" s="7" t="str">
        <x:v>Fictional records only. This example demonstrates field use and does not show service readiness, compliance or a client outcome.</x:v>
      </x:c>
      <x:c r="K2" s="7" t="str">
        <x:v>Fictional records only. This example demonstrates field use and does not show service readiness, compliance or a client outcome.</x:v>
      </x:c>
      <x:c r="L2" s="7" t="str">
        <x:v>Fictional records only. This example demonstrates field use and does not show service readiness, compliance or a client outcome.</x:v>
      </x:c>
      <x:c r="M2" s="7" t="str">
        <x:v>Fictional records only. This example demonstrates field use and does not show service readiness, compliance or a client outcome.</x:v>
      </x:c>
    </x:row>
    <x:row r="3" ht="26" customHeight="1">
      <x:c r="A3" s="7" t="str">
        <x:v>Fictional records only. This example demonstrates field use and does not show service readiness, compliance or a client outcome.</x:v>
      </x:c>
      <x:c r="B3" s="7" t="str">
        <x:v>Fictional records only. This example demonstrates field use and does not show service readiness, compliance or a client outcome.</x:v>
      </x:c>
      <x:c r="C3" s="7" t="str">
        <x:v>Fictional records only. This example demonstrates field use and does not show service readiness, compliance or a client outcome.</x:v>
      </x:c>
      <x:c r="D3" s="7" t="str">
        <x:v>Fictional records only. This example demonstrates field use and does not show service readiness, compliance or a client outcome.</x:v>
      </x:c>
      <x:c r="E3" s="7" t="str">
        <x:v>Fictional records only. This example demonstrates field use and does not show service readiness, compliance or a client outcome.</x:v>
      </x:c>
      <x:c r="F3" s="7" t="str">
        <x:v>Fictional records only. This example demonstrates field use and does not show service readiness, compliance or a client outcome.</x:v>
      </x:c>
      <x:c r="G3" s="7" t="str">
        <x:v>Fictional records only. This example demonstrates field use and does not show service readiness, compliance or a client outcome.</x:v>
      </x:c>
      <x:c r="H3" s="7" t="str">
        <x:v>Fictional records only. This example demonstrates field use and does not show service readiness, compliance or a client outcome.</x:v>
      </x:c>
      <x:c r="I3" s="7" t="str">
        <x:v>Fictional records only. This example demonstrates field use and does not show service readiness, compliance or a client outcome.</x:v>
      </x:c>
      <x:c r="J3" s="7" t="str">
        <x:v>Fictional records only. This example demonstrates field use and does not show service readiness, compliance or a client outcome.</x:v>
      </x:c>
      <x:c r="K3" s="7" t="str">
        <x:v>Fictional records only. This example demonstrates field use and does not show service readiness, compliance or a client outcome.</x:v>
      </x:c>
      <x:c r="L3" s="7" t="str">
        <x:v>Fictional records only. This example demonstrates field use and does not show service readiness, compliance or a client outcome.</x:v>
      </x:c>
      <x:c r="M3" s="7" t="str">
        <x:v>Fictional records only. This example demonstrates field use and does not show service readiness, compliance or a client outcome.</x:v>
      </x:c>
    </x:row>
    <x:row r="5" ht="30" customHeight="1">
      <x:c r="A5" s="15" t="str">
        <x:v>Reference ID</x:v>
      </x:c>
      <x:c r="B5" s="16" t="str">
        <x:v>Stage</x:v>
      </x:c>
      <x:c r="C5" s="16" t="str">
        <x:v>Status</x:v>
      </x:c>
      <x:c r="D5" s="16" t="str">
        <x:v>Owner role</x:v>
      </x:c>
      <x:c r="E5" s="16" t="str">
        <x:v>Next action</x:v>
      </x:c>
      <x:c r="F5" s="16" t="str">
        <x:v>Due date</x:v>
      </x:c>
      <x:c r="G5" s="16" t="str">
        <x:v>Waiting on</x:v>
      </x:c>
      <x:c r="H5" s="16" t="str">
        <x:v>Readiness decision</x:v>
      </x:c>
      <x:c r="I5" s="16" t="str">
        <x:v>Decision owner</x:v>
      </x:c>
      <x:c r="J5" s="16" t="str">
        <x:v>Exception?</x:v>
      </x:c>
      <x:c r="K5" s="16" t="str">
        <x:v>Last update</x:v>
      </x:c>
      <x:c r="L5" s="16" t="str">
        <x:v>Notes - no sensitive detail</x:v>
      </x:c>
      <x:c r="M5" s="17" t="str">
        <x:v>Attention</x:v>
      </x:c>
    </x:row>
    <x:row r="6" ht="34" customHeight="1">
      <x:c r="A6" s="37" t="str">
        <x:v>SYN-001</x:v>
      </x:c>
      <x:c r="B6" s="38" t="str">
        <x:v>New enquiry</x:v>
      </x:c>
      <x:c r="C6" s="38" t="str">
        <x:v>New</x:v>
      </x:c>
      <x:c r="D6" s="38" t="str">
        <x:v>Intake coordinator</x:v>
      </x:c>
      <x:c r="E6" s="38" t="str">
        <x:v>Complete initial high-level review</x:v>
      </x:c>
      <x:c r="F6" s="116" t="n">
        <x:v>46273.27410809028</x:v>
      </x:c>
      <x:c r="G6" s="38" t="str"/>
      <x:c r="H6" s="38" t="str">
        <x:v>Not assessed</x:v>
      </x:c>
      <x:c r="I6" s="38" t="str"/>
      <x:c r="J6" s="38" t="str">
        <x:v>No</x:v>
      </x:c>
      <x:c r="K6" s="116" t="n">
        <x:v>46268.27410809028</x:v>
      </x:c>
      <x:c r="L6" s="38" t="str">
        <x:v>Synthetic training record</x:v>
      </x:c>
      <x:c r="M6" s="39" t="str">
        <x:f>IF(OR(J6="Yes",AND(F6&lt;TODAY(),C6&lt;&gt;"Closed")),"Attention","On track")</x:f>
        <x:v>On track</x:v>
      </x:c>
    </x:row>
    <x:row r="7" ht="34" customHeight="1">
      <x:c r="A7" s="40" t="str">
        <x:v>SYN-002</x:v>
      </x:c>
      <x:c r="B7" s="41" t="str">
        <x:v>Information requested</x:v>
      </x:c>
      <x:c r="C7" s="41" t="str">
        <x:v>Waiting</x:v>
      </x:c>
      <x:c r="D7" s="41" t="str">
        <x:v>Intake coordinator</x:v>
      </x:c>
      <x:c r="E7" s="41" t="str">
        <x:v>Check whether agreed information arrived</x:v>
      </x:c>
      <x:c r="F7" s="117" t="n">
        <x:v>46265.27410809028</x:v>
      </x:c>
      <x:c r="G7" s="41" t="str">
        <x:v>External response</x:v>
      </x:c>
      <x:c r="H7" s="41" t="str">
        <x:v>Not assessed</x:v>
      </x:c>
      <x:c r="I7" s="41" t="str"/>
      <x:c r="J7" s="41" t="str">
        <x:v>No</x:v>
      </x:c>
      <x:c r="K7" s="117" t="n">
        <x:v>46265.27410809028</x:v>
      </x:c>
      <x:c r="L7" s="41" t="str">
        <x:v>No identifying information</x:v>
      </x:c>
      <x:c r="M7" s="42" t="str">
        <x:f>IF(OR(J7="Yes",AND(F7&lt;TODAY(),C7&lt;&gt;"Closed")),"Attention","On track")</x:f>
        <x:v>Attention</x:v>
      </x:c>
    </x:row>
    <x:row r="8" ht="34" customHeight="1">
      <x:c r="A8" s="40" t="str">
        <x:v>SYN-003</x:v>
      </x:c>
      <x:c r="B8" s="41" t="str">
        <x:v>Decision pending</x:v>
      </x:c>
      <x:c r="C8" s="41" t="str">
        <x:v>Ready for decision</x:v>
      </x:c>
      <x:c r="D8" s="41" t="str">
        <x:v>Operations lead</x:v>
      </x:c>
      <x:c r="E8" s="41" t="str">
        <x:v>Record authorised route</x:v>
      </x:c>
      <x:c r="F8" s="117" t="n">
        <x:v>46273.27410809028</x:v>
      </x:c>
      <x:c r="G8" s="41" t="str"/>
      <x:c r="H8" s="41" t="str">
        <x:v>Not ready</x:v>
      </x:c>
      <x:c r="I8" s="41" t="str">
        <x:v>Operations manager</x:v>
      </x:c>
      <x:c r="J8" s="41" t="str">
        <x:v>Yes</x:v>
      </x:c>
      <x:c r="K8" s="117" t="n">
        <x:v>46268.27410809028</x:v>
      </x:c>
      <x:c r="L8" s="41" t="str">
        <x:v>Exception requires review</x:v>
      </x:c>
      <x:c r="M8" s="42" t="str">
        <x:f>IF(OR(J8="Yes",AND(F8&lt;TODAY(),C8&lt;&gt;"Closed")),"Attention","On track")</x:f>
        <x:v>Attention</x:v>
      </x:c>
    </x:row>
    <x:row r="9" ht="34" customHeight="1">
      <x:c r="A9" s="40" t="str">
        <x:v>SYN-004</x:v>
      </x:c>
      <x:c r="B9" s="41" t="str">
        <x:v>Ready to commence</x:v>
      </x:c>
      <x:c r="C9" s="41" t="str">
        <x:v>In progress</x:v>
      </x:c>
      <x:c r="D9" s="41" t="str">
        <x:v>Service coordinator</x:v>
      </x:c>
      <x:c r="E9" s="41" t="str">
        <x:v>Confirm agreed commencement action</x:v>
      </x:c>
      <x:c r="F9" s="117" t="n">
        <x:v>46273.27410809028</x:v>
      </x:c>
      <x:c r="G9" s="41" t="str"/>
      <x:c r="H9" s="41" t="str">
        <x:v>Ready</x:v>
      </x:c>
      <x:c r="I9" s="41" t="str">
        <x:v>Authorised manager</x:v>
      </x:c>
      <x:c r="J9" s="41" t="str">
        <x:v>No</x:v>
      </x:c>
      <x:c r="K9" s="117" t="n">
        <x:v>46268.27410809028</x:v>
      </x:c>
      <x:c r="L9" s="41" t="str">
        <x:v>Readiness defined by organisation</x:v>
      </x:c>
      <x:c r="M9" s="42" t="str">
        <x:f>IF(OR(J9="Yes",AND(F9&lt;TODAY(),C9&lt;&gt;"Closed")),"Attention","On track")</x:f>
        <x:v>On track</x:v>
      </x:c>
    </x:row>
    <x:row r="10" ht="34" customHeight="1">
      <x:c r="A10" s="43" t="str">
        <x:v>SYN-005</x:v>
      </x:c>
      <x:c r="B10" s="44" t="str">
        <x:v>Closed / not proceeding</x:v>
      </x:c>
      <x:c r="C10" s="44" t="str">
        <x:v>Closed</x:v>
      </x:c>
      <x:c r="D10" s="44" t="str">
        <x:v>Intake coordinator</x:v>
      </x:c>
      <x:c r="E10" s="44" t="str">
        <x:v>None - outcome recorded</x:v>
      </x:c>
      <x:c r="F10" s="118" t="n">
        <x:v>46265.27410809028</x:v>
      </x:c>
      <x:c r="G10" s="44" t="str"/>
      <x:c r="H10" s="44" t="str">
        <x:v>Not proceeding</x:v>
      </x:c>
      <x:c r="I10" s="44" t="str">
        <x:v>Operations manager</x:v>
      </x:c>
      <x:c r="J10" s="44" t="str">
        <x:v>No</x:v>
      </x:c>
      <x:c r="K10" s="118" t="n">
        <x:v>46268.27410809028</x:v>
      </x:c>
      <x:c r="L10" s="44" t="str">
        <x:v>Closure reason stored in approved system</x:v>
      </x:c>
      <x:c r="M10" s="45" t="str">
        <x:f>IF(OR(J10="Yes",AND(F10&lt;TODAY(),C10&lt;&gt;"Closed")),"Attention","On track")</x:f>
        <x:v>On track</x:v>
      </x:c>
    </x:row>
  </x:sheetData>
  <x:mergeCells>
    <x:mergeCell ref="A1:M1"/>
    <x:mergeCell ref="A2:M3"/>
  </x:mergeCells>
  <x:pageMargins left="0.7" right="0.7" top="0.75" bottom="0.75" header="0.3" footer="0.3"/>
</x:worksheet>
</file>